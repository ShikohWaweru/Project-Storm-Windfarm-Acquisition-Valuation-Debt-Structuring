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Assumptions" sheetId="2" state="visible" r:id="rId4"/>
    <sheet name="Calcs" sheetId="3" state="visible" r:id="rId5"/>
    <sheet name="Output" sheetId="4" state="visible" r:id="rId6"/>
    <sheet name="Analysis" sheetId="5" state="visible" r:id="rId7"/>
    <sheet name="Sensitivities" sheetId="6" state="visible" r:id="rId8"/>
  </sheets>
  <definedNames>
    <definedName function="false" hidden="false" localSheetId="4" name="_xlnm.Print_Titles" vbProcedure="false">Analysis!$1:$6</definedName>
    <definedName function="false" hidden="false" localSheetId="1" name="_xlnm.Print_Titles" vbProcedure="false">Assumptions!$1:$6</definedName>
    <definedName function="false" hidden="false" localSheetId="2" name="_xlnm.Print_Titles" vbProcedure="false">Calcs!$1:$6</definedName>
    <definedName function="false" hidden="false" localSheetId="0" name="_xlnm.Print_Titles" vbProcedure="false">Instructions!$1:$6</definedName>
    <definedName function="false" hidden="false" localSheetId="3" name="_xlnm.Print_Titles" vbProcedure="false">Output!$1:$6</definedName>
    <definedName function="false" hidden="false" localSheetId="5" name="_xlnm.Print_Titles" vbProcedure="false">Sensitivities!$1:$6</definedName>
    <definedName function="false" hidden="false" name="bid_price" vbProcedure="false">Output!$D$52</definedName>
    <definedName function="false" hidden="false" name="Buyer_IRR" vbProcedure="false">Output!$D$57</definedName>
    <definedName function="false" hidden="false" name="CPI" vbProcedure="false">Assumptions!$D$16:$S$16</definedName>
    <definedName function="false" hidden="false" name="equity_irr" vbProcedure="false">Output!$D$57</definedName>
    <definedName function="false" hidden="false" name="hours" vbProcedure="false">Assumptions!$D$10</definedName>
    <definedName function="false" hidden="false" name="senior_debt" vbProcedure="false">Calcs!$D$98</definedName>
    <definedName function="false" hidden="false" name="swap_rate" vbProcedure="false">Analysis!$D$103</definedName>
    <definedName function="false" hidden="false" name="timeline" vbProcedure="false">Assumptions!$D$4:$S$4</definedName>
    <definedName function="false" hidden="false" name="year_months" vbProcedure="false">Assumptions!$D$11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<sst xmlns="http://schemas.openxmlformats.org/spreadsheetml/2006/main" count="820" uniqueCount="443">
  <si>
    <t xml:space="preserve">Project Storm - Model Map, Method &amp; Instructions</t>
  </si>
  <si>
    <t xml:space="preserve">How this model is built</t>
  </si>
  <si>
    <t xml:space="preserve">Assumptions</t>
  </si>
  <si>
    <t xml:space="preserve">Every input in one place. Blue cells are hardcoded; yellow cells are the levers worth flexing.</t>
  </si>
  <si>
    <t xml:space="preserve">Calcs</t>
  </si>
  <si>
    <t xml:space="preserve">Indices, the merit-order power price stack, revenue, opex, working capital, the senior debt schedule and the tax computation.</t>
  </si>
  <si>
    <t xml:space="preserve">Output</t>
  </si>
  <si>
    <t xml:space="preserve">P&amp;L, cash flow, the valuation, the balance sheet and the sources &amp; uses at close. Deliberately kept free of workings.</t>
  </si>
  <si>
    <t xml:space="preserve">Analysis</t>
  </si>
  <si>
    <t xml:space="preserve">The headline results and each supporting analysis (downside, exit, hedging, tax cap, sub-debt), with full workings alongside.</t>
  </si>
  <si>
    <t xml:space="preserve">Sensitivities</t>
  </si>
  <si>
    <t xml:space="preserve">The tables behind the recommendation, including the PPA analysis.</t>
  </si>
  <si>
    <t xml:space="preserve">Conventions</t>
  </si>
  <si>
    <t xml:space="preserve">Blue text</t>
  </si>
  <si>
    <t xml:space="preserve">Hardcoded input or scenario lever</t>
  </si>
  <si>
    <t xml:space="preserve">Black text</t>
  </si>
  <si>
    <t xml:space="preserve">Formula calculated on the same sheet</t>
  </si>
  <si>
    <t xml:space="preserve">Green text</t>
  </si>
  <si>
    <t xml:space="preserve">Link to another sheet</t>
  </si>
  <si>
    <t xml:space="preserve">Yellow fill</t>
  </si>
  <si>
    <t xml:space="preserve">Key assumption or solved lever</t>
  </si>
  <si>
    <t xml:space="preserve">Units</t>
  </si>
  <si>
    <t xml:space="preserve">All monetary amounts are in £'000 unless the unit column says otherwise. Prices are £/MWh, production is GWh, so GWh x £/MWh gives £'000 directly.</t>
  </si>
  <si>
    <t xml:space="preserve">The two solved cells</t>
  </si>
  <si>
    <t xml:space="preserve">Calcs!E105:P105</t>
  </si>
  <si>
    <t xml:space="preserve">The sculpted senior principal profile. Debt size, the interest it bears and the tax it shelters are mutually dependent, so this profile is solved outside the sheet and entered as an input. Calcs!D100 proves the DSCR is a constant 1.30x and Calcs!D118 proves the amount drawn equals the amount the sizing test supports.</t>
  </si>
  <si>
    <t xml:space="preserve">Analysis!D131</t>
  </si>
  <si>
    <t xml:space="preserve">The subordinated loan, solved the same way. Analysis!D165 is the check.</t>
  </si>
  <si>
    <t xml:space="preserve">Checks that must all read nil</t>
  </si>
  <si>
    <t xml:space="preserve">Output!E86:S86</t>
  </si>
  <si>
    <t xml:space="preserve">Balance sheet balances in every year</t>
  </si>
  <si>
    <t xml:space="preserve">Output!D101</t>
  </si>
  <si>
    <t xml:space="preserve">Sources equal uses at close</t>
  </si>
  <si>
    <t xml:space="preserve">Calcs!D118</t>
  </si>
  <si>
    <t xml:space="preserve">Senior debt drawn equals the debt the sizing test supports</t>
  </si>
  <si>
    <t xml:space="preserve">Analysis!D165</t>
  </si>
  <si>
    <t xml:space="preserve">Subordinated loan drawn equals the amount 1.20x DSCR supports</t>
  </si>
  <si>
    <t xml:space="preserve">Key observations</t>
  </si>
  <si>
    <t xml:space="preserve">-</t>
  </si>
  <si>
    <t xml:space="preserve">Electricity demand grows at 0.25% a year to 2015 and 0.5% thereafter (Assumptions row 23). CCGT keeps ample spare capacity above demand in every year, so the clearing plant is robust to the demand path.</t>
  </si>
  <si>
    <t xml:space="preserve">The merit order flips in 2020: coal becomes dearer than CCGT, so coal sets the price for two years and the curve has a hump. This is why the stack has to be ranked dynamically rather than assumed.</t>
  </si>
  <si>
    <t xml:space="preserve">Senior debt is capped by the 1.30x DSCR test at £51.2m, not by the 85% of fixed assets test, which would allow £57.4m. The gearing that results is 84% of enterprise value - high, and the reason the equity return is so sensitive to price.</t>
  </si>
  <si>
    <t xml:space="preserve">The 30% interest deductibility cap never binds at this leverage, so it costs nothing in the base case.</t>
  </si>
  <si>
    <t xml:space="preserve">Project Storm - Assumptions</t>
  </si>
  <si>
    <t xml:space="preserve">Period End</t>
  </si>
  <si>
    <t xml:space="preserve">Calendar Year</t>
  </si>
  <si>
    <t xml:space="preserve">Model Year</t>
  </si>
  <si>
    <t xml:space="preserve">General</t>
  </si>
  <si>
    <t xml:space="preserve">Hours in year</t>
  </si>
  <si>
    <t xml:space="preserve">[hours]</t>
  </si>
  <si>
    <t xml:space="preserve">Months in Year</t>
  </si>
  <si>
    <t xml:space="preserve">[months]</t>
  </si>
  <si>
    <t xml:space="preserve">Economics</t>
  </si>
  <si>
    <t xml:space="preserve">CPI</t>
  </si>
  <si>
    <t xml:space="preserve">[%]</t>
  </si>
  <si>
    <t xml:space="preserve">2.5% to 2015 inclusive, 2.0% thereafter</t>
  </si>
  <si>
    <t xml:space="preserve">Libor</t>
  </si>
  <si>
    <t xml:space="preserve">LIBOR curve as input; no interest income assumed</t>
  </si>
  <si>
    <t xml:space="preserve">Electricity Market</t>
  </si>
  <si>
    <t xml:space="preserve">Demand</t>
  </si>
  <si>
    <t xml:space="preserve">[TWh]</t>
  </si>
  <si>
    <t xml:space="preserve">&lt;&lt;</t>
  </si>
  <si>
    <t xml:space="preserve">Demand grows at +0.25% p.a. to 2015 and +0.5% thereafter, driven by row 23.</t>
  </si>
  <si>
    <t xml:space="preserve">Demand Growth</t>
  </si>
  <si>
    <t xml:space="preserve">Supply</t>
  </si>
  <si>
    <t xml:space="preserve">Average Installed Capacity Forecast</t>
  </si>
  <si>
    <t xml:space="preserve">Coal</t>
  </si>
  <si>
    <t xml:space="preserve">[GW]</t>
  </si>
  <si>
    <t xml:space="preserve">CCGT</t>
  </si>
  <si>
    <t xml:space="preserve">Renewables (incl. Hydro)</t>
  </si>
  <si>
    <t xml:space="preserve">Weighted Avg Capacity Factor</t>
  </si>
  <si>
    <t xml:space="preserve">Weighted Avg Marginal Cost</t>
  </si>
  <si>
    <t xml:space="preserve">[real - 2012]</t>
  </si>
  <si>
    <t xml:space="preserve">[£/MWh - Real]</t>
  </si>
  <si>
    <t xml:space="preserve">Hint: supply is always equal to demand; if possible try to make the pricing calculation dynamic (you may need to rank the supply)</t>
  </si>
  <si>
    <t xml:space="preserve">Operating Assumptions</t>
  </si>
  <si>
    <t xml:space="preserve">Generation</t>
  </si>
  <si>
    <t xml:space="preserve">   Installed Capacity</t>
  </si>
  <si>
    <t xml:space="preserve">[MW]</t>
  </si>
  <si>
    <t xml:space="preserve">   Load Factor - P75</t>
  </si>
  <si>
    <t xml:space="preserve">   Load Factor - P90</t>
  </si>
  <si>
    <t xml:space="preserve">   Production Case (1=P75, 2=P90, 3=P90 10y then P75)</t>
  </si>
  <si>
    <t xml:space="preserve">[#]</t>
  </si>
  <si>
    <t xml:space="preserve">   Operations Start Date</t>
  </si>
  <si>
    <t xml:space="preserve">[date]</t>
  </si>
  <si>
    <t xml:space="preserve">   Residual Accounting &amp; Economic Life</t>
  </si>
  <si>
    <t xml:space="preserve">[years]</t>
  </si>
  <si>
    <t xml:space="preserve">Regulated Subsidy</t>
  </si>
  <si>
    <t xml:space="preserve">   Subsidy Price - 2012</t>
  </si>
  <si>
    <t xml:space="preserve">[£/MWh]</t>
  </si>
  <si>
    <t xml:space="preserve">   Subsidy Escalation (CPI - 1.5%)</t>
  </si>
  <si>
    <t xml:space="preserve">   Subsidy Escalation Discount to CPI</t>
  </si>
  <si>
    <t xml:space="preserve">   Subsidy Tenor from Operations Start</t>
  </si>
  <si>
    <t xml:space="preserve">   Final Subsidy Year</t>
  </si>
  <si>
    <t xml:space="preserve">[year]</t>
  </si>
  <si>
    <t xml:space="preserve">Operating Costs</t>
  </si>
  <si>
    <t xml:space="preserve">   Fixed Opex</t>
  </si>
  <si>
    <t xml:space="preserve">[£'000/MW]</t>
  </si>
  <si>
    <t xml:space="preserve">   Variable Opex</t>
  </si>
  <si>
    <t xml:space="preserve">   Opex Escalation Premium to CPI</t>
  </si>
  <si>
    <t xml:space="preserve">   Opex Escalation (CPI + 0.25%)</t>
  </si>
  <si>
    <t xml:space="preserve">Tax</t>
  </si>
  <si>
    <t xml:space="preserve">Corporate Income Tax Rate</t>
  </si>
  <si>
    <t xml:space="preserve">Interest Deductibility Limit (% of EBITDA)</t>
  </si>
  <si>
    <t xml:space="preserve">Excess disallowed interest carried forward indefinitely</t>
  </si>
  <si>
    <t xml:space="preserve">Senior Debt</t>
  </si>
  <si>
    <t xml:space="preserve">Tenor</t>
  </si>
  <si>
    <t xml:space="preserve">Margin</t>
  </si>
  <si>
    <t xml:space="preserve">Upfront Fee</t>
  </si>
  <si>
    <t xml:space="preserve">Max Gearing (% of Fixed Assets)</t>
  </si>
  <si>
    <t xml:space="preserve">Minimum DSCR (on P75 generation)</t>
  </si>
  <si>
    <t xml:space="preserve">[x]</t>
  </si>
  <si>
    <t xml:space="preserve">Hedging Ratio (% of outstanding principal)</t>
  </si>
  <si>
    <t xml:space="preserve">All-in Interest Rate (LIBOR + Margin)</t>
  </si>
  <si>
    <t xml:space="preserve">Subordinated Debt</t>
  </si>
  <si>
    <t xml:space="preserve">Coupon</t>
  </si>
  <si>
    <t xml:space="preserve">Minimum DSCR</t>
  </si>
  <si>
    <t xml:space="preserve">Annuity Factor</t>
  </si>
  <si>
    <t xml:space="preserve">Transaction</t>
  </si>
  <si>
    <t xml:space="preserve">Transaction Date</t>
  </si>
  <si>
    <t xml:space="preserve">Transaction Costs (non-depreciable)</t>
  </si>
  <si>
    <t xml:space="preserve">[£'000]</t>
  </si>
  <si>
    <t xml:space="preserve">Target Buy &amp; Hold Equity IRR</t>
  </si>
  <si>
    <t xml:space="preserve">Exit Year</t>
  </si>
  <si>
    <t xml:space="preserve">Buyer's Required IRR at Exit</t>
  </si>
  <si>
    <t xml:space="preserve">Exit Fee (% of Enterprise Value)</t>
  </si>
  <si>
    <t xml:space="preserve">Legend</t>
  </si>
  <si>
    <t xml:space="preserve">Blue text = hardcoded input / scenario lever</t>
  </si>
  <si>
    <t xml:space="preserve">Black text = formula on this sheet</t>
  </si>
  <si>
    <t xml:space="preserve">Green text = link to another sheet</t>
  </si>
  <si>
    <t xml:space="preserve">Yellow fill = key assumption or goal-seek lever</t>
  </si>
  <si>
    <t xml:space="preserve">Project Storm - Calculations</t>
  </si>
  <si>
    <t xml:space="preserve">CPI Index</t>
  </si>
  <si>
    <t xml:space="preserve">Cost Index (CPI + 0.25%)</t>
  </si>
  <si>
    <t xml:space="preserve">Subsidy Index (CPI - 1.5%)</t>
  </si>
  <si>
    <t xml:space="preserve">Revenues</t>
  </si>
  <si>
    <t xml:space="preserve">Production</t>
  </si>
  <si>
    <t xml:space="preserve">   P75</t>
  </si>
  <si>
    <t xml:space="preserve">[GWh]</t>
  </si>
  <si>
    <t xml:space="preserve">   P90</t>
  </si>
  <si>
    <t xml:space="preserve">   Selected Scenario</t>
  </si>
  <si>
    <t xml:space="preserve">Case 3 = P90 for the first 10 years (2013-22), P75 from 2023. 2012 shown at P75 for reference only - the buyer owns no 2012 economics.</t>
  </si>
  <si>
    <t xml:space="preserve">Power Prices</t>
  </si>
  <si>
    <t xml:space="preserve">Demand Index</t>
  </si>
  <si>
    <t xml:space="preserve">Annual Demand</t>
  </si>
  <si>
    <t xml:space="preserve">Generation by Technology</t>
  </si>
  <si>
    <t xml:space="preserve">   Coal</t>
  </si>
  <si>
    <t xml:space="preserve">   CCGT</t>
  </si>
  <si>
    <t xml:space="preserve">   Renewables</t>
  </si>
  <si>
    <t xml:space="preserve">   Total Supply Available</t>
  </si>
  <si>
    <t xml:space="preserve">   Surplus / (Deficit) vs Demand</t>
  </si>
  <si>
    <t xml:space="preserve">Marginal Cost - Real 2012</t>
  </si>
  <si>
    <t xml:space="preserve">Generation Cheaper than this Plant</t>
  </si>
  <si>
    <t xml:space="preserve">Marginal Plant Flag (1 = sets the price)</t>
  </si>
  <si>
    <t xml:space="preserve">   Marginal Technology</t>
  </si>
  <si>
    <t xml:space="preserve">[text]</t>
  </si>
  <si>
    <t xml:space="preserve">   Marginal Cost of Marginal Plant</t>
  </si>
  <si>
    <t xml:space="preserve">[£/MWh real]</t>
  </si>
  <si>
    <t xml:space="preserve">Applicable Electricity Price</t>
  </si>
  <si>
    <t xml:space="preserve">Applicable Subsidy</t>
  </si>
  <si>
    <t xml:space="preserve">Revenue from Electricity</t>
  </si>
  <si>
    <t xml:space="preserve">GWh x £/MWh = £'000, so no unit conversion is needed here.</t>
  </si>
  <si>
    <t xml:space="preserve">Revenue from Subsidy</t>
  </si>
  <si>
    <t xml:space="preserve">Total Revenues</t>
  </si>
  <si>
    <t xml:space="preserve">Expenses</t>
  </si>
  <si>
    <t xml:space="preserve">Fixed Costs</t>
  </si>
  <si>
    <t xml:space="preserve">Variable Costs</t>
  </si>
  <si>
    <t xml:space="preserve">Total Operating Costs</t>
  </si>
  <si>
    <t xml:space="preserve">EBITDA</t>
  </si>
  <si>
    <t xml:space="preserve">EBITDA Margin</t>
  </si>
  <si>
    <t xml:space="preserve">Depreciation Charge</t>
  </si>
  <si>
    <t xml:space="preserve">Working Capital</t>
  </si>
  <si>
    <t xml:space="preserve">Receivable Days (calibrated to opening balance sheet)</t>
  </si>
  <si>
    <t xml:space="preserve">[days]</t>
  </si>
  <si>
    <t xml:space="preserve">Days are reverse-engineered from the opening balance sheet provided (receivables 1,200 on 2012 revenue; payables 300 on 2012 costs) and held flat.</t>
  </si>
  <si>
    <t xml:space="preserve">Payable Days (calibrated to opening balance sheet)</t>
  </si>
  <si>
    <t xml:space="preserve">Receivables</t>
  </si>
  <si>
    <t xml:space="preserve">Payables</t>
  </si>
  <si>
    <t xml:space="preserve">Net Working Capital</t>
  </si>
  <si>
    <t xml:space="preserve">Movement in Working Capital (cash impact)</t>
  </si>
  <si>
    <t xml:space="preserve">Debt</t>
  </si>
  <si>
    <t xml:space="preserve">Senior Debt Drawn</t>
  </si>
  <si>
    <t xml:space="preserve">Minimum DSCR Achieved</t>
  </si>
  <si>
    <t xml:space="preserve">   Opening Balance</t>
  </si>
  <si>
    <t xml:space="preserve">   Interest</t>
  </si>
  <si>
    <t xml:space="preserve">   Debt Service</t>
  </si>
  <si>
    <t xml:space="preserve">   Principal Repayment (sculpted profile)</t>
  </si>
  <si>
    <t xml:space="preserve">Sizing lever. The debt quantum, the interest it bears and the tax it shelters are mutually dependent, so the sculpted repayment profile is entered as an input and proved by the checks in D100 (DSCR a constant 1.30x) and D118 (drawn amount equals the sized amount). Re-solve these two if any assumption changes.</t>
  </si>
  <si>
    <t xml:space="preserve">   Closing Balance</t>
  </si>
  <si>
    <t xml:space="preserve">   Upfront Fee Amortisation</t>
  </si>
  <si>
    <t xml:space="preserve">CFADS (EBITDA less tax paid, after working capital)</t>
  </si>
  <si>
    <t xml:space="preserve">DSCR</t>
  </si>
  <si>
    <t xml:space="preserve">Debt Sizing</t>
  </si>
  <si>
    <t xml:space="preserve">   Discount Factor at All-in Rate</t>
  </si>
  <si>
    <t xml:space="preserve">   PV of CFADS</t>
  </si>
  <si>
    <t xml:space="preserve">   Maximum Debt at Minimum DSCR</t>
  </si>
  <si>
    <t xml:space="preserve">   Maximum Debt at 85% of Fixed Assets</t>
  </si>
  <si>
    <t xml:space="preserve">   Sized Debt (lower of the two)</t>
  </si>
  <si>
    <t xml:space="preserve">   Check: Input less Sized Debt (must be nil)</t>
  </si>
  <si>
    <t xml:space="preserve">   Binding Constraint</t>
  </si>
  <si>
    <t xml:space="preserve">Hedging and Swap Pricing</t>
  </si>
  <si>
    <t xml:space="preserve">   Hedged Notional (85% of opening principal)</t>
  </si>
  <si>
    <t xml:space="preserve">   Discount Factor at LIBOR</t>
  </si>
  <si>
    <t xml:space="preserve">   Floating Leg (Notional x LIBOR x DF)</t>
  </si>
  <si>
    <t xml:space="preserve">   Fixed Leg Basis (Notional x DF)</t>
  </si>
  <si>
    <t xml:space="preserve">Depreciation</t>
  </si>
  <si>
    <t xml:space="preserve">Senior Interest</t>
  </si>
  <si>
    <t xml:space="preserve">Upfront Fee Amortisation</t>
  </si>
  <si>
    <t xml:space="preserve">Total Financing Costs</t>
  </si>
  <si>
    <t xml:space="preserve">   Interest Deductibility Cap (30% of EBITDA)</t>
  </si>
  <si>
    <t xml:space="preserve">   Disallowed Interest Brought Forward</t>
  </si>
  <si>
    <t xml:space="preserve">   Allowed - Current Year</t>
  </si>
  <si>
    <t xml:space="preserve">   Spare Capacity</t>
  </si>
  <si>
    <t xml:space="preserve">   Utilisation of Brought-forward Disallowed Interest</t>
  </si>
  <si>
    <t xml:space="preserve">   Total Interest Allowed</t>
  </si>
  <si>
    <t xml:space="preserve">   Disallowed Interest Carried Forward</t>
  </si>
  <si>
    <t xml:space="preserve">Profit Before Tax</t>
  </si>
  <si>
    <t xml:space="preserve">   Tax Losses Brought Forward</t>
  </si>
  <si>
    <t xml:space="preserve">   Taxable Profit</t>
  </si>
  <si>
    <t xml:space="preserve">   Tax Losses Carried Forward</t>
  </si>
  <si>
    <t xml:space="preserve">Tax Charge</t>
  </si>
  <si>
    <t xml:space="preserve">Project Storm - Financial Statements &amp; Valuation</t>
  </si>
  <si>
    <t xml:space="preserve">Profit &amp; Loss Account</t>
  </si>
  <si>
    <t xml:space="preserve">2012 revenue and EBITDA are shown for reference only - the vendor retains the economic benefit of the asset until 31-Dec-2012.</t>
  </si>
  <si>
    <t xml:space="preserve">Revenue from Subsidies</t>
  </si>
  <si>
    <t xml:space="preserve">Total Revenue</t>
  </si>
  <si>
    <t xml:space="preserve">Total Costs</t>
  </si>
  <si>
    <t xml:space="preserve">EBIT</t>
  </si>
  <si>
    <t xml:space="preserve">Interest &amp; Financing Costs</t>
  </si>
  <si>
    <t xml:space="preserve">Net Income</t>
  </si>
  <si>
    <t xml:space="preserve">Cashflow</t>
  </si>
  <si>
    <t xml:space="preserve">Tax Paid</t>
  </si>
  <si>
    <t xml:space="preserve">CFADS</t>
  </si>
  <si>
    <t xml:space="preserve">Senior Principal Repayment</t>
  </si>
  <si>
    <t xml:space="preserve">Total Senior Debt Service</t>
  </si>
  <si>
    <t xml:space="preserve">Release of Opening Cash Balance</t>
  </si>
  <si>
    <t xml:space="preserve">Net Cashflows to Equity</t>
  </si>
  <si>
    <t xml:space="preserve">Equity Cash Flow (incl. day-one investment)</t>
  </si>
  <si>
    <t xml:space="preserve">Valuation</t>
  </si>
  <si>
    <t xml:space="preserve">Buy and Hold</t>
  </si>
  <si>
    <t xml:space="preserve">   Equity Purchase Price payable to Vendor</t>
  </si>
  <si>
    <t xml:space="preserve">   Transaction Costs</t>
  </si>
  <si>
    <t xml:space="preserve">   Upfront Debt Fee</t>
  </si>
  <si>
    <t xml:space="preserve">   Less: Senior Debt Drawn</t>
  </si>
  <si>
    <t xml:space="preserve">   Investor Equity Investment</t>
  </si>
  <si>
    <t xml:space="preserve">IRR</t>
  </si>
  <si>
    <t xml:space="preserve">   Money Multiple</t>
  </si>
  <si>
    <t xml:space="preserve">   Implied Enterprise Value (price less cash acquired)</t>
  </si>
  <si>
    <t xml:space="preserve">Exit Analysis</t>
  </si>
  <si>
    <t xml:space="preserve">   Exit Year</t>
  </si>
  <si>
    <t xml:space="preserve">   Buyer's Required IRR (levered)</t>
  </si>
  <si>
    <t xml:space="preserve">   Equity Value to Buyer at Exit</t>
  </si>
  <si>
    <t xml:space="preserve">   Senior Debt Outstanding at Exit</t>
  </si>
  <si>
    <t xml:space="preserve">   Enterprise Value at Exit</t>
  </si>
  <si>
    <t xml:space="preserve">   Exit Fee (0.25% of EV)</t>
  </si>
  <si>
    <t xml:space="preserve">   Net Equity Proceeds to Investor</t>
  </si>
  <si>
    <t xml:space="preserve">   Investor IRR on a 2-Year Hold</t>
  </si>
  <si>
    <t xml:space="preserve">Simplified Balance Sheet</t>
  </si>
  <si>
    <t xml:space="preserve">Assets</t>
  </si>
  <si>
    <t xml:space="preserve">Cash</t>
  </si>
  <si>
    <t xml:space="preserve">Column D is the vendor balance sheet as provided (pre-acquisition). Columns E onwards reflect the post-acquisition capital structure - see the Sources &amp; Uses block below.</t>
  </si>
  <si>
    <t xml:space="preserve">PP&amp;E</t>
  </si>
  <si>
    <t xml:space="preserve">Total Assets</t>
  </si>
  <si>
    <t xml:space="preserve">Liabilities</t>
  </si>
  <si>
    <t xml:space="preserve">   Senior Debt (net of unamortised fee)</t>
  </si>
  <si>
    <t xml:space="preserve">Equity &amp; Retained Earnings</t>
  </si>
  <si>
    <t xml:space="preserve">Total Liabilities &amp; Equity</t>
  </si>
  <si>
    <t xml:space="preserve">Balance Check</t>
  </si>
  <si>
    <t xml:space="preserve">Sources &amp; Uses at Close</t>
  </si>
  <si>
    <t xml:space="preserve">Sources</t>
  </si>
  <si>
    <t xml:space="preserve">   Senior Debt Drawn</t>
  </si>
  <si>
    <t xml:space="preserve">   Investor Equity</t>
  </si>
  <si>
    <t xml:space="preserve">   Total Sources</t>
  </si>
  <si>
    <t xml:space="preserve">Uses</t>
  </si>
  <si>
    <t xml:space="preserve">   Equity Purchase Price</t>
  </si>
  <si>
    <t xml:space="preserve">   Total Uses</t>
  </si>
  <si>
    <t xml:space="preserve">Post-Acquisition Opening Equity (debt pushed down)</t>
  </si>
  <si>
    <t xml:space="preserve">Check: Sources less Uses (must be nil)</t>
  </si>
  <si>
    <t xml:space="preserve">Project Storm - Key Results and Supporting Analysis</t>
  </si>
  <si>
    <t xml:space="preserve">Summary of Results</t>
  </si>
  <si>
    <t xml:space="preserve">Recommended bid price - equity value to vendor</t>
  </si>
  <si>
    <t xml:space="preserve">      Implied enterprise value</t>
  </si>
  <si>
    <t xml:space="preserve">      Enterprise value per MW</t>
  </si>
  <si>
    <t xml:space="preserve">      Senior debt sized</t>
  </si>
  <si>
    <t xml:space="preserve">      Investor equity cheque</t>
  </si>
  <si>
    <t xml:space="preserve">      Buy &amp; hold equity IRR</t>
  </si>
  <si>
    <t xml:space="preserve">Downside: equity IRR - P90 for 10 years, then P75</t>
  </si>
  <si>
    <t xml:space="preserve">      Minimum DSCR in that scenario</t>
  </si>
  <si>
    <t xml:space="preserve">Exit: investor IRR on a 2-year hold, exit priced at 11%</t>
  </si>
  <si>
    <t xml:space="preserve">      Net equity proceeds at exit</t>
  </si>
  <si>
    <t xml:space="preserve">Hedging: 12-year amortising swap rate</t>
  </si>
  <si>
    <t xml:space="preserve">      All-in fixed cost of debt (swap + margin)</t>
  </si>
  <si>
    <t xml:space="preserve">Tax: impact of the 30% interest cap on the bid price</t>
  </si>
  <si>
    <t xml:space="preserve">      Minimum headroom under the cap</t>
  </si>
  <si>
    <t xml:space="preserve">Sub-debt: subordinated loan sized</t>
  </si>
  <si>
    <t xml:space="preserve">      Investor equity IRR with subordinated loan</t>
  </si>
  <si>
    <t xml:space="preserve">      Uplift versus the base case</t>
  </si>
  <si>
    <t xml:space="preserve">[bps]</t>
  </si>
  <si>
    <t xml:space="preserve">The PPA analysis is on the "Sensitivities" sheet and discussed in the valuation memo.</t>
  </si>
  <si>
    <t xml:space="preserve">Downside case - P90 for the first 10 years, P75 thereafter</t>
  </si>
  <si>
    <t xml:space="preserve">   Revenue from Electricity</t>
  </si>
  <si>
    <t xml:space="preserve">   Revenue from Subsidy</t>
  </si>
  <si>
    <t xml:space="preserve">   Total Revenue</t>
  </si>
  <si>
    <t xml:space="preserve">   Fixed Costs</t>
  </si>
  <si>
    <t xml:space="preserve">   Variable Costs</t>
  </si>
  <si>
    <t xml:space="preserve">   Total Operating Costs</t>
  </si>
  <si>
    <t xml:space="preserve">   Depreciation</t>
  </si>
  <si>
    <t xml:space="preserve">   Financing Costs (senior debt already committed)</t>
  </si>
  <si>
    <t xml:space="preserve">   Interest Cap (30% of EBITDA)</t>
  </si>
  <si>
    <t xml:space="preserve">   Disallowed Interest b/f</t>
  </si>
  <si>
    <t xml:space="preserve">   Utilisation of b/f Disallowed Interest</t>
  </si>
  <si>
    <t xml:space="preserve">   Disallowed Interest c/f</t>
  </si>
  <si>
    <t xml:space="preserve">   Profit Before Tax</t>
  </si>
  <si>
    <t xml:space="preserve">   Tax Losses b/f</t>
  </si>
  <si>
    <t xml:space="preserve">   Tax Losses c/f</t>
  </si>
  <si>
    <t xml:space="preserve">   Tax Charge</t>
  </si>
  <si>
    <t xml:space="preserve">   Receivables</t>
  </si>
  <si>
    <t xml:space="preserve">   Payables</t>
  </si>
  <si>
    <t xml:space="preserve">   Net Working Capital</t>
  </si>
  <si>
    <t xml:space="preserve">   Movement in Working Capital</t>
  </si>
  <si>
    <t xml:space="preserve">   Senior Debt Service (unchanged)</t>
  </si>
  <si>
    <t xml:space="preserve">   DSCR</t>
  </si>
  <si>
    <t xml:space="preserve">   Release of Opening Cash Balance</t>
  </si>
  <si>
    <t xml:space="preserve">Net Cash Flow to Equity</t>
  </si>
  <si>
    <t xml:space="preserve">Equity IRR</t>
  </si>
  <si>
    <t xml:space="preserve">Minimum DSCR over the debt life</t>
  </si>
  <si>
    <t xml:space="preserve">Money Multiple</t>
  </si>
  <si>
    <t xml:space="preserve">Exit case - sale to an infrastructure fund after 2 years</t>
  </si>
  <si>
    <t xml:space="preserve">Buyer's Required IRR (levered, same base case)</t>
  </si>
  <si>
    <t xml:space="preserve">Dividends acquired by the buyer (2015-2027)</t>
  </si>
  <si>
    <t xml:space="preserve">Equity Value to Buyer at 31-Dec-2014</t>
  </si>
  <si>
    <t xml:space="preserve">Senior Debt Outstanding at Exit</t>
  </si>
  <si>
    <t xml:space="preserve">Enterprise Value at Exit</t>
  </si>
  <si>
    <t xml:space="preserve">Exit Fee (0.25% of EV)</t>
  </si>
  <si>
    <t xml:space="preserve">Net Equity Proceeds to Investor</t>
  </si>
  <si>
    <t xml:space="preserve">Investor Cash Flow</t>
  </si>
  <si>
    <t xml:space="preserve">Investor IRR on a 2-Year Hold</t>
  </si>
  <si>
    <t xml:space="preserve">Uplift versus the 12% buy &amp; hold case</t>
  </si>
  <si>
    <t xml:space="preserve">Interest rate hedge - swap rate on the hedged portion of the senior debt</t>
  </si>
  <si>
    <t xml:space="preserve">Hedged Notional (85% of opening principal)</t>
  </si>
  <si>
    <t xml:space="preserve">LIBOR Forward Rate</t>
  </si>
  <si>
    <t xml:space="preserve">Discount Factor at LIBOR</t>
  </si>
  <si>
    <t xml:space="preserve">Floating Leg (Notional x LIBOR x DF)</t>
  </si>
  <si>
    <t xml:space="preserve">Fixed Leg Basis (Notional x DF)</t>
  </si>
  <si>
    <t xml:space="preserve">Swap Rate (PV floating / PV notional)</t>
  </si>
  <si>
    <t xml:space="preserve">All-in Fixed Cost of Debt (swap + 300bps margin)</t>
  </si>
  <si>
    <t xml:space="preserve">Memo: simple average of LIBOR over the tenor</t>
  </si>
  <si>
    <t xml:space="preserve">Interest deductibility limitation</t>
  </si>
  <si>
    <t xml:space="preserve">Deductibility Cap (30% of EBITDA)</t>
  </si>
  <si>
    <t xml:space="preserve">Headroom</t>
  </si>
  <si>
    <t xml:space="preserve">Status</t>
  </si>
  <si>
    <t xml:space="preserve">Minimum Headroom over the Debt Life</t>
  </si>
  <si>
    <t xml:space="preserve">Minimum Headroom as % of the Cap</t>
  </si>
  <si>
    <t xml:space="preserve">Senior Debt at which the Cap First Binds (2013)</t>
  </si>
  <si>
    <t xml:space="preserve">That Debt as % of Fixed Assets</t>
  </si>
  <si>
    <t xml:space="preserve">Impact on the Bid Price</t>
  </si>
  <si>
    <t xml:space="preserve">The limitation costs nothing here because the DSCR test caps senior debt well below the level at which 30% of EBITDA becomes scarce. See the "Sensitivities" sheet for the price impact at tighter caps.</t>
  </si>
  <si>
    <t xml:space="preserve">Subordinated loan funding part of the investor's equity</t>
  </si>
  <si>
    <t xml:space="preserve">   Coupon</t>
  </si>
  <si>
    <t xml:space="preserve">   Tenor</t>
  </si>
  <si>
    <t xml:space="preserve">   Minimum DSCR</t>
  </si>
  <si>
    <t xml:space="preserve">   Annuity Factor</t>
  </si>
  <si>
    <t xml:space="preserve">Subordinated Loan Drawn</t>
  </si>
  <si>
    <t xml:space="preserve">   Annuity Payment</t>
  </si>
  <si>
    <t xml:space="preserve">   Principal Repayment</t>
  </si>
  <si>
    <t xml:space="preserve">   Total Financing Costs (senior + subordinated)</t>
  </si>
  <si>
    <t xml:space="preserve">   Senior Debt Service</t>
  </si>
  <si>
    <t xml:space="preserve">   Cash Available for Subordinated Debt Service</t>
  </si>
  <si>
    <t xml:space="preserve">   Subordinated DSCR</t>
  </si>
  <si>
    <t xml:space="preserve">Sub-debt Sizing Check</t>
  </si>
  <si>
    <t xml:space="preserve">   Minimum Cash Available in Years 1-5</t>
  </si>
  <si>
    <t xml:space="preserve">   Maximum Annuity Payment at 1.20x DSCR</t>
  </si>
  <si>
    <t xml:space="preserve">   Sized Subordinated Loan</t>
  </si>
  <si>
    <t xml:space="preserve">   Check: Input less Sized (must be nil)</t>
  </si>
  <si>
    <t xml:space="preserve">Investor Equity Investment with Subordinated Loan</t>
  </si>
  <si>
    <t xml:space="preserve">Investor Equity IRR</t>
  </si>
  <si>
    <t xml:space="preserve">Uplift versus the Base Case</t>
  </si>
  <si>
    <t xml:space="preserve">Project Storm - Sensitivities &amp; Supporting Analysis</t>
  </si>
  <si>
    <t xml:space="preserve">Bid Price versus Target Equity Return  [live]</t>
  </si>
  <si>
    <t xml:space="preserve">Target Equity IRR</t>
  </si>
  <si>
    <t xml:space="preserve">Equity Cheque</t>
  </si>
  <si>
    <t xml:space="preserve">Bid Price (equity)</t>
  </si>
  <si>
    <t xml:space="preserve">Implied EV</t>
  </si>
  <si>
    <t xml:space="preserve">EV per MW</t>
  </si>
  <si>
    <t xml:space="preserve">The bid price barely moves across a 400bp range of target returns: only c.£2.3m separates a 10% and a 14% hurdle. Because the equity cheque is a thin slice of the price, discipline on debt sizing matters far more than discipline on the hurdle rate.</t>
  </si>
  <si>
    <t xml:space="preserve">Equity IRR at the Recommended Price - Operating Scenarios</t>
  </si>
  <si>
    <t xml:space="preserve">Scenario</t>
  </si>
  <si>
    <t xml:space="preserve">How to reproduce</t>
  </si>
  <si>
    <t xml:space="preserve">Base case (P75, base power price)</t>
  </si>
  <si>
    <t xml:space="preserve">Assumptions!D50 = 1</t>
  </si>
  <si>
    <t xml:space="preserve">P90 for 10 years, then P75</t>
  </si>
  <si>
    <t xml:space="preserve">Assumptions!D50 = 3</t>
  </si>
  <si>
    <t xml:space="preserve">P90 in every year</t>
  </si>
  <si>
    <t xml:space="preserve">Assumptions!D50 = 2</t>
  </si>
  <si>
    <t xml:space="preserve">Power price -5%</t>
  </si>
  <si>
    <t xml:space="preserve">Scale Calcs row 49 by 0.95</t>
  </si>
  <si>
    <t xml:space="preserve">Power price -10%</t>
  </si>
  <si>
    <t xml:space="preserve">Scale Calcs row 49 by 0.90</t>
  </si>
  <si>
    <t xml:space="preserve">Power price +10%</t>
  </si>
  <si>
    <t xml:space="preserve">Scale Calcs row 49 by 1.10</t>
  </si>
  <si>
    <t xml:space="preserve">Operating costs +10%</t>
  </si>
  <si>
    <t xml:space="preserve">Assumptions!D62 = 55, D63 = 5.5</t>
  </si>
  <si>
    <t xml:space="preserve">Power price -10% and P90 throughout</t>
  </si>
  <si>
    <t xml:space="preserve">Both of the above</t>
  </si>
  <si>
    <t xml:space="preserve">Values are produced by flexing the input cells named in the final column and reading Output!D57 and the DSCR row. They are pasted here as inputs so that the whole grid can be seen at once.</t>
  </si>
  <si>
    <t xml:space="preserve">Read-across: at 84% gearing the equity is highly geared to the power price. A 10% price shortfall alone takes DSCR below 1.00x - a payment default, not merely a covenant breach.</t>
  </si>
  <si>
    <t xml:space="preserve">Bid Price at Tighter Interest Deductibility Caps</t>
  </si>
  <si>
    <t xml:space="preserve">Cap (% of EBITDA)</t>
  </si>
  <si>
    <t xml:space="preserve">Bid Price</t>
  </si>
  <si>
    <t xml:space="preserve">Change vs Base</t>
  </si>
  <si>
    <t xml:space="preserve">No limit</t>
  </si>
  <si>
    <t xml:space="preserve">30% (base assumption)</t>
  </si>
  <si>
    <t xml:space="preserve">25%</t>
  </si>
  <si>
    <t xml:space="preserve">20%</t>
  </si>
  <si>
    <t xml:space="preserve">15%</t>
  </si>
  <si>
    <t xml:space="preserve">10%</t>
  </si>
  <si>
    <t xml:space="preserve">5%</t>
  </si>
  <si>
    <t xml:space="preserve">Nil deduction</t>
  </si>
  <si>
    <t xml:space="preserve">The 30% cap is worth nothing at this leverage. It would only start to bite at roughly £65.9m of senior debt - about 98% of fixed assets - which the DSCR test rules out long before the tax rule does.</t>
  </si>
  <si>
    <t xml:space="preserve">Financial Impact of a PPA</t>
  </si>
  <si>
    <t xml:space="preserve">A fixed-price PPA on the merchant element, priced at a discount to the forward curve, in exchange for a lower DSCR floor from the banks.</t>
  </si>
  <si>
    <t xml:space="preserve">Bid price at a 12% equity IRR</t>
  </si>
  <si>
    <t xml:space="preserve">PPA discount to the curve</t>
  </si>
  <si>
    <t xml:space="preserve">DSCR floor 1.30x (merchant)</t>
  </si>
  <si>
    <t xml:space="preserve">DSCR floor 1.20x</t>
  </si>
  <si>
    <t xml:space="preserve">DSCR floor 1.15x</t>
  </si>
  <si>
    <t xml:space="preserve">0% (curve)</t>
  </si>
  <si>
    <t xml:space="preserve">Senior debt raised</t>
  </si>
  <si>
    <t xml:space="preserve">The trade is a real one: a 1.30x to 1.15x relaxation is worth about £6.1m of extra debt and £1.9m of extra price, which pays for a PPA discount of just under 4%. Beyond that the discount costs more than the leverage is worth.</t>
  </si>
  <si>
    <t xml:space="preserve">Revenue Mix - Merchant versus Contracted  [live]</t>
  </si>
  <si>
    <t xml:space="preserve">Year</t>
  </si>
  <si>
    <t xml:space="preserve">Merchant</t>
  </si>
  <si>
    <t xml:space="preserve">Subsidy</t>
  </si>
  <si>
    <t xml:space="preserve">Total</t>
  </si>
  <si>
    <t xml:space="preserve">Merchant %</t>
  </si>
  <si>
    <t xml:space="preserve">The subsidy expires at the end of 2022, 15 years after commissioning. From 2023 the project is fully merchant and EBITDA falls by roughly 70%, which is why the debt has to be gone by 2024.</t>
  </si>
  <si>
    <t xml:space="preserve">Negotiating Range  [live]</t>
  </si>
  <si>
    <t xml:space="preserve">Walk-away price at a 12% IRR</t>
  </si>
  <si>
    <t xml:space="preserve">Price at an 11% IRR (the level an infrastructure fund would pay)</t>
  </si>
  <si>
    <t xml:space="preserve">Vendor's carrying value of the equity</t>
  </si>
  <si>
    <t xml:space="preserve">Loss to vendor against carrying value at our price</t>
  </si>
  <si>
    <t xml:space="preserve">That loss as a share of carrying value</t>
  </si>
  <si>
    <t xml:space="preserve">The vendor must close by 31 December and has failed to raise project finance. We should open materially below the walk-away price and hold £64.5m in reserve as the ceiling.</t>
  </si>
</sst>
</file>

<file path=xl/styles.xml><?xml version="1.0" encoding="utf-8"?>
<styleSheet xmlns="http://schemas.openxmlformats.org/spreadsheetml/2006/main">
  <numFmts count="20">
    <numFmt numFmtId="164" formatCode="General"/>
    <numFmt numFmtId="165" formatCode="#,##0%\ ;\(#,##0%&quot;) &quot;;&quot;-% &quot;"/>
    <numFmt numFmtId="166" formatCode="0."/>
    <numFmt numFmtId="167" formatCode="d\-mmm\-yy"/>
    <numFmt numFmtId="168" formatCode="0\ "/>
    <numFmt numFmtId="169" formatCode="#,##0\ ;\(#,##0&quot;) &quot;;&quot;- &quot;"/>
    <numFmt numFmtId="170" formatCode="General"/>
    <numFmt numFmtId="171" formatCode="#,##0.00%\ ;\(#,##0.00%&quot;) &quot;;&quot;-% &quot;"/>
    <numFmt numFmtId="172" formatCode="#,##0.00%\ ;\(#,##0.00%&quot;) &quot;;&quot;-% &quot;"/>
    <numFmt numFmtId="173" formatCode="#,##0.0%\ ;\(#,##0.0%&quot;) &quot;;&quot;-% &quot;"/>
    <numFmt numFmtId="174" formatCode="_-* #,##0_-;\-* #,##0_-;_-* \-??_-;_-@_-"/>
    <numFmt numFmtId="175" formatCode="0.00"/>
    <numFmt numFmtId="176" formatCode="0"/>
    <numFmt numFmtId="177" formatCode="#,##0.00&quot;x &quot;;\(#,##0.00&quot;x) &quot;;&quot;- &quot;"/>
    <numFmt numFmtId="178" formatCode="0.0000"/>
    <numFmt numFmtId="179" formatCode="#,##0.0\ ;\(#,##0.0&quot;) &quot;;&quot;- &quot;"/>
    <numFmt numFmtId="180" formatCode="#,##0.00\ ;\(#,##0.00&quot;) &quot;;&quot;- &quot;"/>
    <numFmt numFmtId="181" formatCode="@"/>
    <numFmt numFmtId="182" formatCode="#,##0.0%\ ;\(#,##0.0%&quot;) &quot;;&quot;-% &quot;"/>
    <numFmt numFmtId="183" formatCode="#,##0%\ ;\(#,##0%&quot;) &quot;;&quot;-% &quot;"/>
  </numFmts>
  <fonts count="25">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14"/>
      <color rgb="FFFFFFFF"/>
      <name val="Calibri"/>
      <family val="0"/>
      <charset val="1"/>
    </font>
    <font>
      <b val="true"/>
      <sz val="15"/>
      <color theme="3"/>
      <name val="Calibri"/>
      <family val="2"/>
      <charset val="1"/>
    </font>
    <font>
      <b val="true"/>
      <sz val="11"/>
      <color rgb="FF000000"/>
      <name val="Calibri"/>
      <family val="0"/>
      <charset val="1"/>
    </font>
    <font>
      <sz val="12"/>
      <color theme="1"/>
      <name val="Calibri"/>
      <family val="2"/>
      <charset val="1"/>
    </font>
    <font>
      <sz val="11"/>
      <color rgb="FF000000"/>
      <name val="Calibri"/>
      <family val="0"/>
      <charset val="1"/>
    </font>
    <font>
      <sz val="11"/>
      <color rgb="FF0000FF"/>
      <name val="Calibri"/>
      <family val="0"/>
      <charset val="1"/>
    </font>
    <font>
      <sz val="11"/>
      <color rgb="FF008000"/>
      <name val="Calibri"/>
      <family val="0"/>
      <charset val="1"/>
    </font>
    <font>
      <b val="true"/>
      <sz val="11"/>
      <color rgb="FFC00000"/>
      <name val="Calibri"/>
      <family val="0"/>
      <charset val="1"/>
    </font>
    <font>
      <b val="true"/>
      <sz val="11"/>
      <color rgb="FF1F3864"/>
      <name val="Calibri"/>
      <family val="0"/>
      <charset val="1"/>
    </font>
    <font>
      <sz val="11"/>
      <color rgb="FF1F3864"/>
      <name val="Calibri"/>
      <family val="0"/>
      <charset val="1"/>
    </font>
    <font>
      <b val="true"/>
      <sz val="13"/>
      <color theme="3"/>
      <name val="Calibri"/>
      <family val="2"/>
      <charset val="1"/>
    </font>
    <font>
      <i val="true"/>
      <sz val="11"/>
      <color theme="1"/>
      <name val="Calibri"/>
      <family val="2"/>
      <charset val="1"/>
    </font>
    <font>
      <b val="true"/>
      <i val="true"/>
      <sz val="13"/>
      <color theme="3"/>
      <name val="Calibri"/>
      <family val="2"/>
      <charset val="1"/>
    </font>
    <font>
      <i val="true"/>
      <sz val="10"/>
      <color rgb="FF595959"/>
      <name val="Calibri"/>
      <family val="0"/>
      <charset val="1"/>
    </font>
    <font>
      <b val="true"/>
      <sz val="11"/>
      <color theme="4" tint="-0.5"/>
      <name val="Calibri"/>
      <family val="2"/>
      <charset val="1"/>
    </font>
    <font>
      <i val="true"/>
      <sz val="11"/>
      <color theme="0"/>
      <name val="Calibri"/>
      <family val="2"/>
      <charset val="1"/>
    </font>
    <font>
      <b val="true"/>
      <sz val="11"/>
      <color theme="1"/>
      <name val="Calibri"/>
      <family val="2"/>
      <charset val="1"/>
    </font>
    <font>
      <i val="true"/>
      <sz val="12"/>
      <color rgb="FFFF0000"/>
      <name val="Calibri"/>
      <family val="2"/>
      <charset val="1"/>
    </font>
    <font>
      <b val="true"/>
      <u val="single"/>
      <sz val="11"/>
      <color theme="1"/>
      <name val="Calibri"/>
      <family val="2"/>
      <charset val="1"/>
    </font>
    <font>
      <b val="true"/>
      <sz val="11"/>
      <color rgb="FF0000FF"/>
      <name val="Calibri"/>
      <family val="0"/>
      <charset val="1"/>
    </font>
  </fonts>
  <fills count="9">
    <fill>
      <patternFill patternType="none"/>
    </fill>
    <fill>
      <patternFill patternType="gray125"/>
    </fill>
    <fill>
      <patternFill patternType="solid">
        <fgColor rgb="FF1F3864"/>
        <bgColor rgb="FF254061"/>
      </patternFill>
    </fill>
    <fill>
      <patternFill patternType="solid">
        <fgColor rgb="FFFFFF00"/>
        <bgColor rgb="FFFFFF00"/>
      </patternFill>
    </fill>
    <fill>
      <patternFill patternType="solid">
        <fgColor rgb="FFFFF2CC"/>
        <bgColor rgb="FFFFFFFF"/>
      </patternFill>
    </fill>
    <fill>
      <patternFill patternType="solid">
        <fgColor theme="4" tint="0.7998"/>
        <bgColor rgb="FFD9E2F3"/>
      </patternFill>
    </fill>
    <fill>
      <patternFill patternType="solid">
        <fgColor theme="0" tint="-0.25"/>
        <bgColor rgb="FFA7C0DE"/>
      </patternFill>
    </fill>
    <fill>
      <patternFill patternType="solid">
        <fgColor rgb="FFD9E2F3"/>
        <bgColor rgb="FFDCE6F2"/>
      </patternFill>
    </fill>
    <fill>
      <patternFill patternType="solid">
        <fgColor rgb="FFFFC7CE"/>
        <bgColor rgb="FFD9E2F3"/>
      </patternFill>
    </fill>
  </fills>
  <borders count="7">
    <border diagonalUp="false" diagonalDown="false">
      <left/>
      <right/>
      <top/>
      <bottom/>
      <diagonal/>
    </border>
    <border diagonalUp="false" diagonalDown="false">
      <left/>
      <right/>
      <top/>
      <bottom style="thick">
        <color theme="4"/>
      </bottom>
      <diagonal/>
    </border>
    <border diagonalUp="false" diagonalDown="false">
      <left/>
      <right/>
      <top/>
      <bottom style="thin">
        <color rgb="FF808080"/>
      </bottom>
      <diagonal/>
    </border>
    <border diagonalUp="false" diagonalDown="false">
      <left/>
      <right/>
      <top/>
      <bottom style="thick">
        <color theme="4" tint="0.4998"/>
      </bottom>
      <diagonal/>
    </border>
    <border diagonalUp="false" diagonalDown="false">
      <left/>
      <right/>
      <top style="thin">
        <color rgb="FF808080"/>
      </top>
      <bottom/>
      <diagonal/>
    </border>
    <border diagonalUp="false" diagonalDown="false">
      <left/>
      <right/>
      <top style="thin"/>
      <bottom/>
      <diagonal/>
    </border>
    <border diagonalUp="false" diagonalDown="false">
      <left/>
      <right/>
      <top style="medium"/>
      <bottom style="double"/>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true" applyProtection="false">
      <alignment horizontal="right" vertical="bottom" textRotation="0" wrapText="false" indent="1" shrinkToFit="false"/>
      <protection locked="true" hidden="false"/>
    </xf>
    <xf numFmtId="166" fontId="10" fillId="0" borderId="0" xfId="0" applyFont="true" applyBorder="false" applyAlignment="true" applyProtection="false">
      <alignment horizontal="right" vertical="bottom" textRotation="0" wrapText="false" indent="1" shrinkToFit="false"/>
      <protection locked="true" hidden="false"/>
    </xf>
    <xf numFmtId="166" fontId="9" fillId="0" borderId="0" xfId="0" applyFont="true" applyBorder="false" applyAlignment="true" applyProtection="false">
      <alignment horizontal="right" vertical="bottom" textRotation="0" wrapText="false" indent="1" shrinkToFit="false"/>
      <protection locked="true" hidden="false"/>
    </xf>
    <xf numFmtId="166" fontId="11" fillId="0" borderId="0" xfId="0" applyFont="true" applyBorder="false" applyAlignment="true" applyProtection="false">
      <alignment horizontal="right" vertical="bottom" textRotation="0" wrapText="false" indent="1" shrinkToFit="false"/>
      <protection locked="true" hidden="false"/>
    </xf>
    <xf numFmtId="166" fontId="9" fillId="3" borderId="0" xfId="0" applyFont="true" applyBorder="false" applyAlignment="true" applyProtection="false">
      <alignment horizontal="right" vertical="bottom" textRotation="0" wrapText="fals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center" vertical="bottom" textRotation="0" wrapText="false" indent="0" shrinkToFit="false"/>
      <protection locked="true" hidden="false"/>
    </xf>
    <xf numFmtId="168" fontId="13" fillId="0" borderId="0" xfId="0" applyFont="true" applyBorder="false" applyAlignment="true" applyProtection="false">
      <alignment horizontal="center"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9" fontId="14" fillId="0" borderId="2" xfId="0" applyFont="true" applyBorder="true" applyAlignment="true" applyProtection="false">
      <alignment horizontal="center" vertical="bottom" textRotation="0" wrapText="false" indent="0" shrinkToFit="false"/>
      <protection locked="true" hidden="false"/>
    </xf>
    <xf numFmtId="170" fontId="15" fillId="0" borderId="3"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9" fontId="0" fillId="5" borderId="0" xfId="0" applyFont="true" applyBorder="false" applyAlignment="false" applyProtection="false">
      <alignment horizontal="general" vertical="bottom" textRotation="0" wrapText="false" indent="0" shrinkToFit="false"/>
      <protection locked="true" hidden="false"/>
    </xf>
    <xf numFmtId="164" fontId="17" fillId="0" borderId="3" xfId="0" applyFont="true" applyBorder="true" applyAlignment="true" applyProtection="false">
      <alignment horizontal="center" vertical="bottom" textRotation="0" wrapText="false" indent="0" shrinkToFit="false"/>
      <protection locked="true" hidden="false"/>
    </xf>
    <xf numFmtId="171" fontId="10" fillId="5"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2" fontId="0" fillId="5" borderId="0" xfId="0" applyFont="true" applyBorder="false" applyAlignment="false" applyProtection="false">
      <alignment horizontal="general" vertical="bottom" textRotation="0" wrapText="false" indent="0" shrinkToFit="false"/>
      <protection locked="true" hidden="false"/>
    </xf>
    <xf numFmtId="169" fontId="10" fillId="5"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9" fillId="6" borderId="0" xfId="0" applyFont="true" applyBorder="false" applyAlignment="false" applyProtection="false">
      <alignment horizontal="general" vertical="bottom" textRotation="0" wrapText="false" indent="0" shrinkToFit="false"/>
      <protection locked="true" hidden="false"/>
    </xf>
    <xf numFmtId="164" fontId="20" fillId="6"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3" fontId="0" fillId="5"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75" fontId="7" fillId="0" borderId="3" xfId="0" applyFont="true" applyBorder="true" applyAlignment="false" applyProtection="false">
      <alignment horizontal="general" vertical="bottom" textRotation="0" wrapText="false" indent="0" shrinkToFit="false"/>
      <protection locked="true" hidden="false"/>
    </xf>
    <xf numFmtId="164" fontId="13" fillId="7" borderId="3" xfId="0" applyFont="true" applyBorder="true" applyAlignment="false" applyProtection="false">
      <alignment horizontal="general" vertical="bottom" textRotation="0" wrapText="false" indent="0" shrinkToFit="false"/>
      <protection locked="true" hidden="false"/>
    </xf>
    <xf numFmtId="164" fontId="17" fillId="7" borderId="3" xfId="0" applyFont="true" applyBorder="true" applyAlignment="true" applyProtection="false">
      <alignment horizontal="center" vertical="bottom" textRotation="0" wrapText="false" indent="0" shrinkToFit="false"/>
      <protection locked="true" hidden="false"/>
    </xf>
    <xf numFmtId="164" fontId="15" fillId="7" borderId="3"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true" applyProtection="false">
      <alignment horizontal="center"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64" fontId="13"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71" fontId="10" fillId="3" borderId="0" xfId="0" applyFont="true" applyBorder="false" applyAlignment="false" applyProtection="false">
      <alignment horizontal="general" vertical="bottom" textRotation="0" wrapText="false" indent="0" shrinkToFit="false"/>
      <protection locked="true" hidden="false"/>
    </xf>
    <xf numFmtId="177" fontId="10" fillId="3" borderId="0" xfId="0" applyFont="true" applyBorder="false" applyAlignment="false" applyProtection="false">
      <alignment horizontal="general" vertical="bottom" textRotation="0" wrapText="false" indent="0" shrinkToFit="false"/>
      <protection locked="true" hidden="false"/>
    </xf>
    <xf numFmtId="177" fontId="10" fillId="0" borderId="0" xfId="0" applyFont="true" applyBorder="false" applyAlignment="false" applyProtection="false">
      <alignment horizontal="general" vertical="bottom" textRotation="0" wrapText="false" indent="0" shrinkToFit="false"/>
      <protection locked="true" hidden="false"/>
    </xf>
    <xf numFmtId="178" fontId="9" fillId="0" borderId="0" xfId="0" applyFont="true" applyBorder="false" applyAlignment="false" applyProtection="false">
      <alignment horizontal="general" vertical="bottom" textRotation="0" wrapText="false" indent="0" shrinkToFit="false"/>
      <protection locked="true" hidden="false"/>
    </xf>
    <xf numFmtId="176"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79" fontId="9"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79" fontId="11" fillId="0" borderId="0" xfId="0" applyFont="true" applyBorder="false" applyAlignment="false" applyProtection="false">
      <alignment horizontal="general" vertical="bottom" textRotation="0" wrapText="false" indent="0" shrinkToFit="false"/>
      <protection locked="true" hidden="false"/>
    </xf>
    <xf numFmtId="179" fontId="7" fillId="0" borderId="4" xfId="0" applyFont="true" applyBorder="true" applyAlignment="false" applyProtection="false">
      <alignment horizontal="general" vertical="bottom" textRotation="0" wrapText="false" indent="0" shrinkToFit="false"/>
      <protection locked="true" hidden="false"/>
    </xf>
    <xf numFmtId="180" fontId="11" fillId="0" borderId="0" xfId="0" applyFont="true" applyBorder="false" applyAlignment="false" applyProtection="false">
      <alignment horizontal="general" vertical="bottom" textRotation="0" wrapText="false" indent="0" shrinkToFit="false"/>
      <protection locked="true" hidden="false"/>
    </xf>
    <xf numFmtId="181" fontId="9" fillId="0" borderId="0" xfId="0" applyFont="true" applyBorder="false" applyAlignment="false" applyProtection="false">
      <alignment horizontal="general" vertical="bottom" textRotation="0" wrapText="false" indent="0" shrinkToFit="false"/>
      <protection locked="true" hidden="false"/>
    </xf>
    <xf numFmtId="180" fontId="9" fillId="0" borderId="0" xfId="0" applyFont="true" applyBorder="false" applyAlignment="false" applyProtection="false">
      <alignment horizontal="general" vertical="bottom" textRotation="0" wrapText="false" indent="0" shrinkToFit="false"/>
      <protection locked="true" hidden="false"/>
    </xf>
    <xf numFmtId="180" fontId="7" fillId="0" borderId="0" xfId="0" applyFont="true" applyBorder="false" applyAlignment="false" applyProtection="false">
      <alignment horizontal="general"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18" fillId="0" borderId="5" xfId="0" applyFont="true" applyBorder="true" applyAlignment="false" applyProtection="false">
      <alignment horizontal="general" vertical="bottom" textRotation="0" wrapText="false" indent="0" shrinkToFit="false"/>
      <protection locked="true" hidden="false"/>
    </xf>
    <xf numFmtId="169" fontId="7" fillId="0" borderId="4" xfId="0" applyFont="true" applyBorder="tru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82" fontId="9" fillId="0" borderId="0" xfId="0" applyFont="true" applyBorder="false" applyAlignment="false" applyProtection="false">
      <alignment horizontal="general" vertical="bottom" textRotation="0" wrapText="fals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77" fontId="9" fillId="0" borderId="0" xfId="0" applyFont="tru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21" fillId="0" borderId="5" xfId="0" applyFont="true" applyBorder="true" applyAlignment="false" applyProtection="false">
      <alignment horizontal="general" vertical="bottom" textRotation="0" wrapText="false" indent="0" shrinkToFit="false"/>
      <protection locked="true" hidden="false"/>
    </xf>
    <xf numFmtId="169" fontId="7" fillId="0" borderId="5" xfId="0" applyFont="true" applyBorder="tru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9" fontId="9" fillId="0" borderId="4"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18" fillId="0" borderId="6" xfId="0" applyFont="true" applyBorder="true" applyAlignment="false" applyProtection="false">
      <alignment horizontal="general" vertical="bottom" textRotation="0" wrapText="false" indent="0" shrinkToFit="false"/>
      <protection locked="true" hidden="false"/>
    </xf>
    <xf numFmtId="164" fontId="21" fillId="0" borderId="4" xfId="0" applyFont="true" applyBorder="true" applyAlignment="false" applyProtection="false">
      <alignment horizontal="general" vertical="bottom" textRotation="0" wrapText="false" indent="0" shrinkToFit="false"/>
      <protection locked="true" hidden="false"/>
    </xf>
    <xf numFmtId="169" fontId="7" fillId="3" borderId="0" xfId="0" applyFont="true" applyBorder="false" applyAlignment="false" applyProtection="false">
      <alignment horizontal="general" vertical="bottom" textRotation="0" wrapText="false" indent="0" shrinkToFit="false"/>
      <protection locked="true" hidden="false"/>
    </xf>
    <xf numFmtId="171" fontId="7" fillId="3" borderId="0" xfId="0" applyFont="true" applyBorder="false" applyAlignment="false" applyProtection="false">
      <alignment horizontal="general" vertical="bottom" textRotation="0" wrapText="false" indent="0" shrinkToFit="false"/>
      <protection locked="true" hidden="false"/>
    </xf>
    <xf numFmtId="176"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9" fontId="0" fillId="0" borderId="4" xfId="0" applyFont="true" applyBorder="true" applyAlignment="false" applyProtection="false">
      <alignment horizontal="general" vertical="bottom" textRotation="0" wrapText="fals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75"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76" fontId="13" fillId="0" borderId="0" xfId="0" applyFont="true" applyBorder="false" applyAlignment="true" applyProtection="false">
      <alignment horizontal="center" vertical="bottom" textRotation="0" wrapText="false" indent="0" shrinkToFit="false"/>
      <protection locked="true" hidden="false"/>
    </xf>
    <xf numFmtId="178" fontId="11"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83" fontId="9" fillId="0" borderId="0" xfId="0" applyFont="true" applyBorder="false" applyAlignment="false" applyProtection="false">
      <alignment horizontal="general" vertical="bottom" textRotation="0" wrapText="false" indent="0" shrinkToFit="false"/>
      <protection locked="true" hidden="false"/>
    </xf>
    <xf numFmtId="177" fontId="11" fillId="0"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center" vertical="bottom" textRotation="0" wrapText="false" indent="0" shrinkToFit="false"/>
      <protection locked="true" hidden="false"/>
    </xf>
    <xf numFmtId="182" fontId="10" fillId="0" borderId="0" xfId="0" applyFont="true" applyBorder="false" applyAlignment="false" applyProtection="false">
      <alignment horizontal="general" vertical="bottom" textRotation="0" wrapText="false" indent="0" shrinkToFit="false"/>
      <protection locked="true" hidden="false"/>
    </xf>
    <xf numFmtId="182" fontId="24" fillId="3" borderId="0" xfId="0" applyFont="true" applyBorder="false" applyAlignment="false" applyProtection="false">
      <alignment horizontal="general" vertical="bottom" textRotation="0" wrapText="false" indent="0" shrinkToFit="false"/>
      <protection locked="true" hidden="false"/>
    </xf>
    <xf numFmtId="177" fontId="10" fillId="8"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Std_%0" xfId="20"/>
  </cellStyles>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BFBFBF"/>
      <rgbColor rgb="FF808080"/>
      <rgbColor rgb="FF9999FF"/>
      <rgbColor rgb="FF993366"/>
      <rgbColor rgb="FFFFF2CC"/>
      <rgbColor rgb="FFDCE6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A7C0DE"/>
      <rgbColor rgb="FFFF99CC"/>
      <rgbColor rgb="FFCC99FF"/>
      <rgbColor rgb="FFFFC7CE"/>
      <rgbColor rgb="FF2E75B6"/>
      <rgbColor rgb="FF33CCCC"/>
      <rgbColor rgb="FF99CC00"/>
      <rgbColor rgb="FFFFCC00"/>
      <rgbColor rgb="FFBF8F00"/>
      <rgbColor rgb="FFFF6600"/>
      <rgbColor rgb="FF595959"/>
      <rgbColor rgb="FF969696"/>
      <rgbColor rgb="FF1F3864"/>
      <rgbColor rgb="FF4F81BD"/>
      <rgbColor rgb="FF003300"/>
      <rgbColor rgb="FF333300"/>
      <rgbColor rgb="FF993300"/>
      <rgbColor rgb="FF993366"/>
      <rgbColor rgb="FF1F497D"/>
      <rgbColor rgb="FF25406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2:T3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3.00390625" defaultRowHeight="14.2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10"/>
    <col collapsed="false" customWidth="true" hidden="false" outlineLevel="0" max="21" min="4" style="0" width="8.67"/>
    <col collapsed="false" customWidth="false" hidden="true" outlineLevel="0" max="16383" min="22" style="0" width="13"/>
    <col collapsed="false" customWidth="true" hidden="false" outlineLevel="0" max="16384" min="16384" style="0" width="8.67"/>
  </cols>
  <sheetData>
    <row r="2" customFormat="false" ht="21.75" hidden="false" customHeight="true" outlineLevel="0" collapsed="false">
      <c r="A2" s="1" t="n">
        <v>0</v>
      </c>
      <c r="B2" s="2" t="s">
        <v>0</v>
      </c>
      <c r="C2" s="3"/>
      <c r="D2" s="3"/>
      <c r="E2" s="3"/>
      <c r="F2" s="3"/>
      <c r="G2" s="3"/>
      <c r="H2" s="3"/>
      <c r="I2" s="3"/>
      <c r="J2" s="3"/>
      <c r="K2" s="3"/>
      <c r="L2" s="3"/>
      <c r="M2" s="3"/>
      <c r="N2" s="3"/>
      <c r="O2" s="3"/>
      <c r="P2" s="3"/>
      <c r="Q2" s="3"/>
      <c r="R2" s="3"/>
      <c r="S2" s="3"/>
      <c r="T2" s="4"/>
    </row>
    <row r="3" customFormat="false" ht="15" hidden="false" customHeight="true" outlineLevel="0" collapsed="false"/>
    <row r="4" customFormat="false" ht="27.75" hidden="false" customHeight="true" outlineLevel="0" collapsed="false">
      <c r="B4" s="5" t="s">
        <v>1</v>
      </c>
      <c r="C4" s="6"/>
    </row>
    <row r="5" customFormat="false" ht="27.75" hidden="false" customHeight="true" outlineLevel="0" collapsed="false">
      <c r="B5" s="7"/>
      <c r="C5" s="6"/>
    </row>
    <row r="6" customFormat="false" ht="27.75" hidden="false" customHeight="true" outlineLevel="0" collapsed="false">
      <c r="B6" s="5" t="s">
        <v>2</v>
      </c>
      <c r="C6" s="8" t="s">
        <v>3</v>
      </c>
    </row>
    <row r="7" customFormat="false" ht="27.75" hidden="false" customHeight="true" outlineLevel="0" collapsed="false">
      <c r="B7" s="5" t="s">
        <v>4</v>
      </c>
      <c r="C7" s="8" t="s">
        <v>5</v>
      </c>
    </row>
    <row r="8" customFormat="false" ht="27.75" hidden="false" customHeight="true" outlineLevel="0" collapsed="false">
      <c r="B8" s="5" t="s">
        <v>6</v>
      </c>
      <c r="C8" s="8" t="s">
        <v>7</v>
      </c>
    </row>
    <row r="9" customFormat="false" ht="27.75" hidden="false" customHeight="true" outlineLevel="0" collapsed="false">
      <c r="B9" s="5" t="s">
        <v>8</v>
      </c>
      <c r="C9" s="8" t="s">
        <v>9</v>
      </c>
    </row>
    <row r="10" customFormat="false" ht="14.25" hidden="false" customHeight="true" outlineLevel="0" collapsed="false">
      <c r="B10" s="5" t="s">
        <v>10</v>
      </c>
      <c r="C10" s="8" t="s">
        <v>11</v>
      </c>
    </row>
    <row r="11" customFormat="false" ht="14.25" hidden="false" customHeight="true" outlineLevel="0" collapsed="false">
      <c r="B11" s="9"/>
    </row>
    <row r="12" customFormat="false" ht="14.25" hidden="false" customHeight="true" outlineLevel="0" collapsed="false">
      <c r="B12" s="9"/>
    </row>
    <row r="13" customFormat="false" ht="14.25" hidden="false" customHeight="true" outlineLevel="0" collapsed="false">
      <c r="B13" s="5" t="s">
        <v>12</v>
      </c>
    </row>
    <row r="14" customFormat="false" ht="14.25" hidden="false" customHeight="true" outlineLevel="0" collapsed="false">
      <c r="B14" s="10" t="s">
        <v>13</v>
      </c>
      <c r="C14" s="8" t="s">
        <v>14</v>
      </c>
    </row>
    <row r="15" customFormat="false" ht="14.25" hidden="false" customHeight="true" outlineLevel="0" collapsed="false">
      <c r="B15" s="11" t="s">
        <v>15</v>
      </c>
      <c r="C15" s="8" t="s">
        <v>16</v>
      </c>
    </row>
    <row r="16" customFormat="false" ht="14.25" hidden="false" customHeight="true" outlineLevel="0" collapsed="false">
      <c r="B16" s="12" t="s">
        <v>17</v>
      </c>
      <c r="C16" s="8" t="s">
        <v>18</v>
      </c>
    </row>
    <row r="17" customFormat="false" ht="14.25" hidden="false" customHeight="true" outlineLevel="0" collapsed="false">
      <c r="B17" s="13" t="s">
        <v>19</v>
      </c>
      <c r="C17" s="8" t="s">
        <v>20</v>
      </c>
    </row>
    <row r="18" customFormat="false" ht="14.25" hidden="false" customHeight="true" outlineLevel="0" collapsed="false">
      <c r="B18" s="5" t="s">
        <v>21</v>
      </c>
      <c r="C18" s="8" t="s">
        <v>22</v>
      </c>
    </row>
    <row r="20" customFormat="false" ht="14.25" hidden="false" customHeight="true" outlineLevel="0" collapsed="false">
      <c r="B20" s="14" t="s">
        <v>23</v>
      </c>
    </row>
    <row r="21" customFormat="false" ht="14.25" hidden="false" customHeight="true" outlineLevel="0" collapsed="false">
      <c r="B21" s="8" t="s">
        <v>24</v>
      </c>
      <c r="C21" s="8" t="s">
        <v>25</v>
      </c>
    </row>
    <row r="23" customFormat="false" ht="14.25" hidden="false" customHeight="true" outlineLevel="0" collapsed="false">
      <c r="B23" s="8" t="s">
        <v>26</v>
      </c>
      <c r="C23" s="8" t="s">
        <v>27</v>
      </c>
    </row>
    <row r="25" customFormat="false" ht="14.25" hidden="false" customHeight="true" outlineLevel="0" collapsed="false">
      <c r="B25" s="14" t="s">
        <v>28</v>
      </c>
    </row>
    <row r="26" customFormat="false" ht="14.25" hidden="false" customHeight="true" outlineLevel="0" collapsed="false">
      <c r="B26" s="8" t="s">
        <v>29</v>
      </c>
      <c r="C26" s="8" t="s">
        <v>30</v>
      </c>
    </row>
    <row r="27" customFormat="false" ht="14.25" hidden="false" customHeight="true" outlineLevel="0" collapsed="false">
      <c r="B27" s="8" t="s">
        <v>31</v>
      </c>
      <c r="C27" s="8" t="s">
        <v>32</v>
      </c>
    </row>
    <row r="28" customFormat="false" ht="14.25" hidden="false" customHeight="true" outlineLevel="0" collapsed="false">
      <c r="B28" s="8" t="s">
        <v>33</v>
      </c>
      <c r="C28" s="8" t="s">
        <v>34</v>
      </c>
    </row>
    <row r="29" customFormat="false" ht="14.25" hidden="false" customHeight="true" outlineLevel="0" collapsed="false">
      <c r="B29" s="8" t="s">
        <v>35</v>
      </c>
      <c r="C29" s="8" t="s">
        <v>36</v>
      </c>
    </row>
    <row r="31" customFormat="false" ht="14.25" hidden="false" customHeight="true" outlineLevel="0" collapsed="false">
      <c r="B31" s="14" t="s">
        <v>37</v>
      </c>
    </row>
    <row r="32" customFormat="false" ht="31.5" hidden="false" customHeight="true" outlineLevel="0" collapsed="false">
      <c r="B32" s="15" t="s">
        <v>38</v>
      </c>
      <c r="C32" s="16" t="s">
        <v>39</v>
      </c>
    </row>
    <row r="34" customFormat="false" ht="31.5" hidden="false" customHeight="true" outlineLevel="0" collapsed="false">
      <c r="B34" s="8" t="s">
        <v>38</v>
      </c>
      <c r="C34" s="17" t="s">
        <v>40</v>
      </c>
    </row>
    <row r="36" customFormat="false" ht="31.5" hidden="false" customHeight="true" outlineLevel="0" collapsed="false">
      <c r="B36" s="8" t="s">
        <v>38</v>
      </c>
      <c r="C36" s="17" t="s">
        <v>41</v>
      </c>
    </row>
    <row r="38" customFormat="false" ht="31.5" hidden="false" customHeight="true" outlineLevel="0" collapsed="false">
      <c r="B38" s="8" t="s">
        <v>38</v>
      </c>
      <c r="C38" s="17" t="s">
        <v>42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2: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6" topLeftCell="D73" activePane="bottomRight" state="frozen"/>
      <selection pane="topLeft" activeCell="A1" activeCellId="0" sqref="A1"/>
      <selection pane="topRight" activeCell="D1" activeCellId="0" sqref="D1"/>
      <selection pane="bottomLeft" activeCell="A73" activeCellId="0" sqref="A73"/>
      <selection pane="bottomRight" activeCell="E27" activeCellId="0" sqref="E27"/>
    </sheetView>
  </sheetViews>
  <sheetFormatPr defaultColWidth="100.00390625" defaultRowHeight="14.2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14"/>
    <col collapsed="false" customWidth="true" hidden="false" outlineLevel="0" max="19" min="4" style="0" width="10.56"/>
    <col collapsed="false" customWidth="true" hidden="false" outlineLevel="0" max="20" min="20" style="0" width="4"/>
    <col collapsed="false" customWidth="false" hidden="true" outlineLevel="0" max="16383" min="21" style="0" width="100"/>
    <col collapsed="false" customWidth="true" hidden="false" outlineLevel="0" max="16384" min="16384" style="0" width="8.67"/>
  </cols>
  <sheetData>
    <row r="2" customFormat="false" ht="21.75" hidden="false" customHeight="true" outlineLevel="0" collapsed="false">
      <c r="A2" s="1" t="n">
        <f aca="false">Instructions!A2+1</f>
        <v>1</v>
      </c>
      <c r="B2" s="2" t="s">
        <v>43</v>
      </c>
      <c r="C2" s="3"/>
      <c r="D2" s="3"/>
      <c r="E2" s="3"/>
      <c r="F2" s="3"/>
      <c r="G2" s="3"/>
      <c r="H2" s="3"/>
      <c r="I2" s="3"/>
      <c r="J2" s="3"/>
      <c r="K2" s="3"/>
      <c r="L2" s="3"/>
      <c r="M2" s="3"/>
      <c r="N2" s="3"/>
      <c r="O2" s="3"/>
      <c r="P2" s="3"/>
      <c r="Q2" s="3"/>
      <c r="R2" s="3"/>
      <c r="S2" s="3"/>
    </row>
    <row r="3" customFormat="false" ht="15" hidden="false" customHeight="true" outlineLevel="0" collapsed="false"/>
    <row r="4" customFormat="false" ht="14.25" hidden="false" customHeight="true" outlineLevel="0" collapsed="false">
      <c r="B4" s="18" t="s">
        <v>44</v>
      </c>
      <c r="D4" s="19" t="n">
        <v>41274</v>
      </c>
      <c r="E4" s="19" t="n">
        <f aca="false">EOMONTH(D4,year_months)</f>
        <v>41639</v>
      </c>
      <c r="F4" s="19" t="n">
        <f aca="false">EOMONTH(E4,year_months)</f>
        <v>42004</v>
      </c>
      <c r="G4" s="19" t="n">
        <f aca="false">EOMONTH(F4,year_months)</f>
        <v>42369</v>
      </c>
      <c r="H4" s="19" t="n">
        <f aca="false">EOMONTH(G4,year_months)</f>
        <v>42735</v>
      </c>
      <c r="I4" s="19" t="n">
        <f aca="false">EOMONTH(H4,year_months)</f>
        <v>43100</v>
      </c>
      <c r="J4" s="19" t="n">
        <f aca="false">EOMONTH(I4,year_months)</f>
        <v>43465</v>
      </c>
      <c r="K4" s="19" t="n">
        <f aca="false">EOMONTH(J4,year_months)</f>
        <v>43830</v>
      </c>
      <c r="L4" s="19" t="n">
        <f aca="false">EOMONTH(K4,year_months)</f>
        <v>44196</v>
      </c>
      <c r="M4" s="19" t="n">
        <f aca="false">EOMONTH(L4,year_months)</f>
        <v>44561</v>
      </c>
      <c r="N4" s="19" t="n">
        <f aca="false">EOMONTH(M4,year_months)</f>
        <v>44926</v>
      </c>
      <c r="O4" s="19" t="n">
        <f aca="false">EOMONTH(N4,year_months)</f>
        <v>45291</v>
      </c>
      <c r="P4" s="19" t="n">
        <f aca="false">EOMONTH(O4,year_months)</f>
        <v>45657</v>
      </c>
      <c r="Q4" s="19" t="n">
        <f aca="false">EOMONTH(P4,year_months)</f>
        <v>46022</v>
      </c>
      <c r="R4" s="19" t="n">
        <f aca="false">EOMONTH(Q4,year_months)</f>
        <v>46387</v>
      </c>
      <c r="S4" s="19" t="n">
        <f aca="false">EOMONTH(R4,year_months)</f>
        <v>46752</v>
      </c>
    </row>
    <row r="5" customFormat="false" ht="14.25" hidden="false" customHeight="true" outlineLevel="0" collapsed="false">
      <c r="B5" s="18" t="s">
        <v>45</v>
      </c>
      <c r="D5" s="20" t="n">
        <f aca="false">YEAR(D4)</f>
        <v>2012</v>
      </c>
      <c r="E5" s="20" t="n">
        <f aca="false">YEAR(E4)</f>
        <v>2013</v>
      </c>
      <c r="F5" s="20" t="n">
        <f aca="false">YEAR(F4)</f>
        <v>2014</v>
      </c>
      <c r="G5" s="20" t="n">
        <f aca="false">YEAR(G4)</f>
        <v>2015</v>
      </c>
      <c r="H5" s="20" t="n">
        <f aca="false">YEAR(H4)</f>
        <v>2016</v>
      </c>
      <c r="I5" s="20" t="n">
        <f aca="false">YEAR(I4)</f>
        <v>2017</v>
      </c>
      <c r="J5" s="20" t="n">
        <f aca="false">YEAR(J4)</f>
        <v>2018</v>
      </c>
      <c r="K5" s="20" t="n">
        <f aca="false">YEAR(K4)</f>
        <v>2019</v>
      </c>
      <c r="L5" s="20" t="n">
        <f aca="false">YEAR(L4)</f>
        <v>2020</v>
      </c>
      <c r="M5" s="20" t="n">
        <f aca="false">YEAR(M4)</f>
        <v>2021</v>
      </c>
      <c r="N5" s="20" t="n">
        <f aca="false">YEAR(N4)</f>
        <v>2022</v>
      </c>
      <c r="O5" s="20" t="n">
        <f aca="false">YEAR(O4)</f>
        <v>2023</v>
      </c>
      <c r="P5" s="20" t="n">
        <f aca="false">YEAR(P4)</f>
        <v>2024</v>
      </c>
      <c r="Q5" s="20" t="n">
        <f aca="false">YEAR(Q4)</f>
        <v>2025</v>
      </c>
      <c r="R5" s="20" t="n">
        <f aca="false">YEAR(R4)</f>
        <v>2026</v>
      </c>
      <c r="S5" s="20" t="n">
        <f aca="false">YEAR(S4)</f>
        <v>2027</v>
      </c>
    </row>
    <row r="6" customFormat="false" ht="14.25" hidden="false" customHeight="true" outlineLevel="0" collapsed="false">
      <c r="B6" s="21" t="s">
        <v>46</v>
      </c>
      <c r="C6" s="22"/>
      <c r="D6" s="23" t="n">
        <v>0</v>
      </c>
      <c r="E6" s="23" t="n">
        <f aca="false">D6+1</f>
        <v>1</v>
      </c>
      <c r="F6" s="23" t="n">
        <f aca="false">E6+1</f>
        <v>2</v>
      </c>
      <c r="G6" s="23" t="n">
        <f aca="false">F6+1</f>
        <v>3</v>
      </c>
      <c r="H6" s="23" t="n">
        <f aca="false">G6+1</f>
        <v>4</v>
      </c>
      <c r="I6" s="23" t="n">
        <f aca="false">H6+1</f>
        <v>5</v>
      </c>
      <c r="J6" s="23" t="n">
        <f aca="false">I6+1</f>
        <v>6</v>
      </c>
      <c r="K6" s="23" t="n">
        <f aca="false">J6+1</f>
        <v>7</v>
      </c>
      <c r="L6" s="23" t="n">
        <f aca="false">K6+1</f>
        <v>8</v>
      </c>
      <c r="M6" s="23" t="n">
        <f aca="false">L6+1</f>
        <v>9</v>
      </c>
      <c r="N6" s="23" t="n">
        <f aca="false">M6+1</f>
        <v>10</v>
      </c>
      <c r="O6" s="23" t="n">
        <f aca="false">N6+1</f>
        <v>11</v>
      </c>
      <c r="P6" s="23" t="n">
        <f aca="false">O6+1</f>
        <v>12</v>
      </c>
      <c r="Q6" s="23" t="n">
        <f aca="false">P6+1</f>
        <v>13</v>
      </c>
      <c r="R6" s="23" t="n">
        <f aca="false">Q6+1</f>
        <v>14</v>
      </c>
      <c r="S6" s="23" t="n">
        <f aca="false">R6+1</f>
        <v>15</v>
      </c>
    </row>
    <row r="8" customFormat="false" ht="17.25" hidden="false" customHeight="true" outlineLevel="0" collapsed="false">
      <c r="A8" s="24" t="n">
        <f aca="false">MAX($A$2:A7)+0.01</f>
        <v>1.01</v>
      </c>
      <c r="B8" s="24" t="s">
        <v>47</v>
      </c>
      <c r="C8" s="24"/>
      <c r="D8" s="24"/>
      <c r="E8" s="24"/>
      <c r="F8" s="24"/>
      <c r="G8" s="24"/>
      <c r="H8" s="24"/>
      <c r="I8" s="24"/>
      <c r="J8" s="24"/>
      <c r="K8" s="24"/>
      <c r="L8" s="24"/>
      <c r="M8" s="24"/>
      <c r="N8" s="24"/>
      <c r="O8" s="24"/>
      <c r="P8" s="24"/>
      <c r="Q8" s="24"/>
      <c r="R8" s="24"/>
      <c r="S8" s="24"/>
    </row>
    <row r="9" customFormat="false" ht="15" hidden="false" customHeight="true" outlineLevel="0" collapsed="false"/>
    <row r="10" customFormat="false" ht="14.25" hidden="false" customHeight="true" outlineLevel="0" collapsed="false">
      <c r="B10" s="0" t="s">
        <v>48</v>
      </c>
      <c r="C10" s="25" t="s">
        <v>49</v>
      </c>
      <c r="D10" s="26" t="n">
        <v>8760</v>
      </c>
    </row>
    <row r="11" customFormat="false" ht="14.25" hidden="false" customHeight="true" outlineLevel="0" collapsed="false">
      <c r="B11" s="0" t="s">
        <v>50</v>
      </c>
      <c r="C11" s="25" t="s">
        <v>51</v>
      </c>
      <c r="D11" s="26" t="n">
        <v>12</v>
      </c>
    </row>
    <row r="12" customFormat="false" ht="14.25" hidden="false" customHeight="true" outlineLevel="0" collapsed="false">
      <c r="C12" s="25"/>
    </row>
    <row r="13" customFormat="false" ht="14.25" hidden="false" customHeight="true" outlineLevel="0" collapsed="false">
      <c r="C13" s="25"/>
    </row>
    <row r="14" customFormat="false" ht="17.25" hidden="false" customHeight="true" outlineLevel="0" collapsed="false">
      <c r="A14" s="24" t="n">
        <f aca="false">MAX($A$2:A13)+0.01</f>
        <v>1.02</v>
      </c>
      <c r="B14" s="24" t="s">
        <v>52</v>
      </c>
      <c r="C14" s="27"/>
      <c r="D14" s="24"/>
      <c r="E14" s="24"/>
      <c r="F14" s="24"/>
      <c r="G14" s="24"/>
      <c r="H14" s="24"/>
      <c r="I14" s="24"/>
      <c r="J14" s="24"/>
      <c r="K14" s="24"/>
      <c r="L14" s="24"/>
      <c r="M14" s="24"/>
      <c r="N14" s="24"/>
      <c r="O14" s="24"/>
      <c r="P14" s="24"/>
      <c r="Q14" s="24"/>
      <c r="R14" s="24"/>
      <c r="S14" s="24"/>
    </row>
    <row r="15" customFormat="false" ht="15" hidden="false" customHeight="true" outlineLevel="0" collapsed="false">
      <c r="C15" s="25"/>
    </row>
    <row r="16" customFormat="false" ht="14.25" hidden="false" customHeight="true" outlineLevel="0" collapsed="false">
      <c r="B16" s="8" t="s">
        <v>53</v>
      </c>
      <c r="C16" s="25" t="s">
        <v>54</v>
      </c>
      <c r="D16" s="28" t="n">
        <v>0.025</v>
      </c>
      <c r="E16" s="28" t="n">
        <v>0.025</v>
      </c>
      <c r="F16" s="28" t="n">
        <v>0.025</v>
      </c>
      <c r="G16" s="28" t="n">
        <v>0.025</v>
      </c>
      <c r="H16" s="28" t="n">
        <v>0.02</v>
      </c>
      <c r="I16" s="28" t="n">
        <v>0.02</v>
      </c>
      <c r="J16" s="28" t="n">
        <v>0.02</v>
      </c>
      <c r="K16" s="28" t="n">
        <v>0.02</v>
      </c>
      <c r="L16" s="28" t="n">
        <v>0.02</v>
      </c>
      <c r="M16" s="28" t="n">
        <v>0.02</v>
      </c>
      <c r="N16" s="28" t="n">
        <v>0.02</v>
      </c>
      <c r="O16" s="28" t="n">
        <v>0.02</v>
      </c>
      <c r="P16" s="28" t="n">
        <v>0.02</v>
      </c>
      <c r="Q16" s="28" t="n">
        <v>0.02</v>
      </c>
      <c r="R16" s="28" t="n">
        <v>0.02</v>
      </c>
      <c r="S16" s="28" t="n">
        <v>0.02</v>
      </c>
      <c r="T16" s="29"/>
      <c r="U16" s="29" t="s">
        <v>55</v>
      </c>
    </row>
    <row r="17" customFormat="false" ht="14.25" hidden="false" customHeight="true" outlineLevel="0" collapsed="false">
      <c r="B17" s="0" t="s">
        <v>56</v>
      </c>
      <c r="C17" s="25" t="s">
        <v>54</v>
      </c>
      <c r="D17" s="30" t="n">
        <v>0.00938999999999979</v>
      </c>
      <c r="E17" s="30" t="n">
        <v>0.00863014305669774</v>
      </c>
      <c r="F17" s="30" t="n">
        <v>0.00948605613819464</v>
      </c>
      <c r="G17" s="30" t="n">
        <v>0.0127079463311444</v>
      </c>
      <c r="H17" s="30" t="n">
        <v>0.0166946523418379</v>
      </c>
      <c r="I17" s="30" t="n">
        <v>0.0205489439928301</v>
      </c>
      <c r="J17" s="30" t="n">
        <v>0.023015623724163</v>
      </c>
      <c r="K17" s="30" t="n">
        <v>0.0242239615559297</v>
      </c>
      <c r="L17" s="30" t="n">
        <v>0.0253434019583352</v>
      </c>
      <c r="M17" s="30" t="n">
        <v>0.0259472025737839</v>
      </c>
      <c r="N17" s="30" t="n">
        <v>0.027337059176467</v>
      </c>
      <c r="O17" s="30" t="n">
        <v>0.0276576669826099</v>
      </c>
      <c r="P17" s="30" t="n">
        <v>0.0276576669826099</v>
      </c>
      <c r="Q17" s="30" t="n">
        <v>0.0264927456669886</v>
      </c>
      <c r="R17" s="30" t="n">
        <v>0.0264927456669886</v>
      </c>
      <c r="S17" s="30" t="n">
        <v>0.0264927456669886</v>
      </c>
      <c r="T17" s="29"/>
      <c r="U17" s="29" t="s">
        <v>57</v>
      </c>
    </row>
    <row r="18" customFormat="false" ht="14.25" hidden="false" customHeight="true" outlineLevel="0" collapsed="false">
      <c r="C18" s="25"/>
    </row>
    <row r="19" customFormat="false" ht="14.25" hidden="false" customHeight="true" outlineLevel="0" collapsed="false">
      <c r="C19" s="25"/>
    </row>
    <row r="20" customFormat="false" ht="17.25" hidden="false" customHeight="true" outlineLevel="0" collapsed="false">
      <c r="A20" s="24" t="n">
        <f aca="false">MAX($A$2:A19)+0.01</f>
        <v>1.03</v>
      </c>
      <c r="B20" s="24" t="s">
        <v>58</v>
      </c>
      <c r="C20" s="27"/>
      <c r="D20" s="24"/>
      <c r="E20" s="24"/>
      <c r="F20" s="24"/>
      <c r="G20" s="24"/>
      <c r="H20" s="24"/>
      <c r="I20" s="24"/>
      <c r="J20" s="24"/>
      <c r="K20" s="24"/>
      <c r="L20" s="24"/>
      <c r="M20" s="24"/>
      <c r="N20" s="24"/>
      <c r="O20" s="24"/>
      <c r="P20" s="24"/>
      <c r="Q20" s="24"/>
      <c r="R20" s="24"/>
      <c r="S20" s="24"/>
    </row>
    <row r="21" customFormat="false" ht="15" hidden="false" customHeight="true" outlineLevel="0" collapsed="false">
      <c r="C21" s="25"/>
    </row>
    <row r="22" customFormat="false" ht="14.25" hidden="false" customHeight="true" outlineLevel="0" collapsed="false">
      <c r="B22" s="0" t="s">
        <v>59</v>
      </c>
      <c r="C22" s="25" t="s">
        <v>60</v>
      </c>
      <c r="D22" s="31" t="n">
        <v>320</v>
      </c>
      <c r="E22" s="32" t="n">
        <f aca="false">D22*(1+E23)</f>
        <v>320.8</v>
      </c>
      <c r="F22" s="32" t="n">
        <f aca="false">E22*(1+F23)</f>
        <v>321.602</v>
      </c>
      <c r="G22" s="32" t="n">
        <f aca="false">F22*(1+G23)</f>
        <v>322.406005</v>
      </c>
      <c r="H22" s="32" t="n">
        <f aca="false">G22*(1+H23)</f>
        <v>324.018035025</v>
      </c>
      <c r="I22" s="32" t="n">
        <f aca="false">H22*(1+I23)</f>
        <v>325.638125200125</v>
      </c>
      <c r="J22" s="32" t="n">
        <f aca="false">I22*(1+J23)</f>
        <v>327.266315826125</v>
      </c>
      <c r="K22" s="32" t="n">
        <f aca="false">J22*(1+K23)</f>
        <v>328.902647405256</v>
      </c>
      <c r="L22" s="32" t="n">
        <f aca="false">K22*(1+L23)</f>
        <v>330.547160642282</v>
      </c>
      <c r="M22" s="32" t="n">
        <f aca="false">L22*(1+M23)</f>
        <v>332.199896445494</v>
      </c>
      <c r="N22" s="32" t="n">
        <f aca="false">M22*(1+N23)</f>
        <v>333.860895927721</v>
      </c>
      <c r="O22" s="32" t="n">
        <f aca="false">N22*(1+O23)</f>
        <v>335.53020040736</v>
      </c>
      <c r="P22" s="32" t="n">
        <f aca="false">O22*(1+P23)</f>
        <v>337.207851409396</v>
      </c>
      <c r="Q22" s="32" t="n">
        <f aca="false">P22*(1+Q23)</f>
        <v>338.893890666443</v>
      </c>
      <c r="R22" s="32" t="n">
        <f aca="false">Q22*(1+R23)</f>
        <v>340.588360119776</v>
      </c>
      <c r="S22" s="32" t="n">
        <f aca="false">R22*(1+S23)</f>
        <v>342.291301920374</v>
      </c>
      <c r="T22" s="15" t="s">
        <v>61</v>
      </c>
      <c r="U22" s="15" t="s">
        <v>62</v>
      </c>
    </row>
    <row r="23" customFormat="false" ht="14.25" hidden="false" customHeight="true" outlineLevel="0" collapsed="false">
      <c r="B23" s="8" t="s">
        <v>63</v>
      </c>
      <c r="C23" s="33" t="s">
        <v>54</v>
      </c>
      <c r="E23" s="34" t="n">
        <v>0.0025</v>
      </c>
      <c r="F23" s="34" t="n">
        <v>0.0025</v>
      </c>
      <c r="G23" s="34" t="n">
        <v>0.0025</v>
      </c>
      <c r="H23" s="34" t="n">
        <v>0.005</v>
      </c>
      <c r="I23" s="34" t="n">
        <v>0.005</v>
      </c>
      <c r="J23" s="34" t="n">
        <v>0.005</v>
      </c>
      <c r="K23" s="34" t="n">
        <v>0.005</v>
      </c>
      <c r="L23" s="34" t="n">
        <v>0.005</v>
      </c>
      <c r="M23" s="34" t="n">
        <v>0.005</v>
      </c>
      <c r="N23" s="34" t="n">
        <v>0.005</v>
      </c>
      <c r="O23" s="34" t="n">
        <v>0.005</v>
      </c>
      <c r="P23" s="34" t="n">
        <v>0.005</v>
      </c>
      <c r="Q23" s="34" t="n">
        <v>0.005</v>
      </c>
      <c r="R23" s="34" t="n">
        <v>0.005</v>
      </c>
      <c r="S23" s="34" t="n">
        <v>0.005</v>
      </c>
    </row>
    <row r="24" customFormat="false" ht="14.25" hidden="false" customHeight="true" outlineLevel="0" collapsed="false">
      <c r="B24" s="35" t="s">
        <v>64</v>
      </c>
      <c r="C24" s="36"/>
    </row>
    <row r="25" customFormat="false" ht="14.25" hidden="false" customHeight="true" outlineLevel="0" collapsed="false">
      <c r="B25" s="37"/>
      <c r="C25" s="25"/>
    </row>
    <row r="26" customFormat="false" ht="14.25" hidden="false" customHeight="true" outlineLevel="0" collapsed="false">
      <c r="B26" s="38" t="s">
        <v>65</v>
      </c>
      <c r="C26" s="25"/>
    </row>
    <row r="27" customFormat="false" ht="14.25" hidden="false" customHeight="true" outlineLevel="0" collapsed="false">
      <c r="B27" s="0" t="s">
        <v>66</v>
      </c>
      <c r="C27" s="25" t="s">
        <v>67</v>
      </c>
      <c r="D27" s="26" t="n">
        <v>35</v>
      </c>
      <c r="E27" s="26" t="n">
        <v>35</v>
      </c>
      <c r="F27" s="26" t="n">
        <v>35</v>
      </c>
      <c r="G27" s="26" t="n">
        <v>32.5</v>
      </c>
      <c r="H27" s="26" t="n">
        <v>30</v>
      </c>
      <c r="I27" s="26" t="n">
        <v>27.5</v>
      </c>
      <c r="J27" s="26" t="n">
        <v>25</v>
      </c>
      <c r="K27" s="26" t="n">
        <v>22.5</v>
      </c>
      <c r="L27" s="26" t="n">
        <v>20</v>
      </c>
      <c r="M27" s="26" t="n">
        <v>20</v>
      </c>
      <c r="N27" s="26" t="n">
        <v>20</v>
      </c>
      <c r="O27" s="26" t="n">
        <v>20</v>
      </c>
      <c r="P27" s="26" t="n">
        <v>15</v>
      </c>
      <c r="Q27" s="26" t="n">
        <v>15</v>
      </c>
      <c r="R27" s="26" t="n">
        <v>10</v>
      </c>
      <c r="S27" s="26" t="n">
        <v>0</v>
      </c>
    </row>
    <row r="28" customFormat="false" ht="14.25" hidden="false" customHeight="true" outlineLevel="0" collapsed="false">
      <c r="B28" s="0" t="s">
        <v>68</v>
      </c>
      <c r="C28" s="25" t="s">
        <v>67</v>
      </c>
      <c r="D28" s="26" t="n">
        <v>55</v>
      </c>
      <c r="E28" s="26" t="n">
        <v>55</v>
      </c>
      <c r="F28" s="26" t="n">
        <v>55</v>
      </c>
      <c r="G28" s="26" t="n">
        <v>55</v>
      </c>
      <c r="H28" s="26" t="n">
        <v>55</v>
      </c>
      <c r="I28" s="26" t="n">
        <v>55</v>
      </c>
      <c r="J28" s="26" t="n">
        <v>55</v>
      </c>
      <c r="K28" s="26" t="n">
        <v>55</v>
      </c>
      <c r="L28" s="26" t="n">
        <v>57</v>
      </c>
      <c r="M28" s="26" t="n">
        <v>59</v>
      </c>
      <c r="N28" s="26" t="n">
        <v>61</v>
      </c>
      <c r="O28" s="26" t="n">
        <v>61</v>
      </c>
      <c r="P28" s="26" t="n">
        <v>61</v>
      </c>
      <c r="Q28" s="26" t="n">
        <v>61</v>
      </c>
      <c r="R28" s="26" t="n">
        <v>61</v>
      </c>
      <c r="S28" s="26" t="n">
        <v>61</v>
      </c>
    </row>
    <row r="29" customFormat="false" ht="14.25" hidden="false" customHeight="true" outlineLevel="0" collapsed="false">
      <c r="B29" s="0" t="s">
        <v>69</v>
      </c>
      <c r="C29" s="25" t="s">
        <v>67</v>
      </c>
      <c r="D29" s="26" t="n">
        <v>15</v>
      </c>
      <c r="E29" s="26" t="n">
        <v>15.45</v>
      </c>
      <c r="F29" s="26" t="n">
        <v>15.9135</v>
      </c>
      <c r="G29" s="26" t="n">
        <v>16.390905</v>
      </c>
      <c r="H29" s="26" t="n">
        <v>16.88263215</v>
      </c>
      <c r="I29" s="26" t="n">
        <v>17.3891111145</v>
      </c>
      <c r="J29" s="26" t="n">
        <v>17.910784447935</v>
      </c>
      <c r="K29" s="26" t="n">
        <v>18.4481079813731</v>
      </c>
      <c r="L29" s="26" t="n">
        <v>19.0015512208143</v>
      </c>
      <c r="M29" s="26" t="n">
        <v>19.5715977574387</v>
      </c>
      <c r="N29" s="26" t="n">
        <v>20.1587456901618</v>
      </c>
      <c r="O29" s="26" t="n">
        <v>20.7635080608667</v>
      </c>
      <c r="P29" s="26" t="n">
        <v>21.3864133026927</v>
      </c>
      <c r="Q29" s="26" t="n">
        <v>22.0280057017735</v>
      </c>
      <c r="R29" s="26" t="n">
        <v>22.6888458728267</v>
      </c>
      <c r="S29" s="26" t="n">
        <v>23.3695112490115</v>
      </c>
    </row>
    <row r="30" customFormat="false" ht="14.25" hidden="false" customHeight="true" outlineLevel="0" collapsed="false">
      <c r="C30" s="25"/>
    </row>
    <row r="31" customFormat="false" ht="14.25" hidden="false" customHeight="true" outlineLevel="0" collapsed="false">
      <c r="B31" s="38" t="s">
        <v>70</v>
      </c>
      <c r="C31" s="25"/>
    </row>
    <row r="32" customFormat="false" ht="14.25" hidden="false" customHeight="true" outlineLevel="0" collapsed="false">
      <c r="B32" s="0" t="str">
        <f aca="false">B27</f>
        <v>Coal</v>
      </c>
      <c r="C32" s="25" t="s">
        <v>54</v>
      </c>
      <c r="D32" s="39" t="n">
        <v>0.35</v>
      </c>
      <c r="E32" s="39" t="n">
        <v>0.346534653465347</v>
      </c>
      <c r="F32" s="39" t="n">
        <v>0.343103617292422</v>
      </c>
      <c r="G32" s="39" t="n">
        <v>0.339706551774676</v>
      </c>
      <c r="H32" s="39" t="n">
        <v>0.336343120568986</v>
      </c>
      <c r="I32" s="39" t="n">
        <v>0.333012990662362</v>
      </c>
      <c r="J32" s="39" t="n">
        <v>0.329715832338972</v>
      </c>
      <c r="K32" s="39" t="n">
        <v>0.3</v>
      </c>
      <c r="L32" s="39" t="n">
        <v>0.3</v>
      </c>
      <c r="M32" s="39" t="n">
        <v>0.3</v>
      </c>
      <c r="N32" s="39" t="n">
        <v>0.3</v>
      </c>
      <c r="O32" s="39" t="n">
        <v>0.3</v>
      </c>
      <c r="P32" s="39" t="n">
        <v>0.3</v>
      </c>
      <c r="Q32" s="39" t="n">
        <v>0.3</v>
      </c>
      <c r="R32" s="39" t="n">
        <v>0.3</v>
      </c>
      <c r="S32" s="39" t="n">
        <v>0.3</v>
      </c>
    </row>
    <row r="33" customFormat="false" ht="14.25" hidden="false" customHeight="true" outlineLevel="0" collapsed="false">
      <c r="B33" s="0" t="str">
        <f aca="false">B28</f>
        <v>CCGT</v>
      </c>
      <c r="C33" s="25" t="s">
        <v>54</v>
      </c>
      <c r="D33" s="39" t="n">
        <v>0.5</v>
      </c>
      <c r="E33" s="39" t="n">
        <v>0.505</v>
      </c>
      <c r="F33" s="39" t="n">
        <v>0.51005</v>
      </c>
      <c r="G33" s="39" t="n">
        <v>0.5151505</v>
      </c>
      <c r="H33" s="39" t="n">
        <v>0.520302005</v>
      </c>
      <c r="I33" s="39" t="n">
        <v>0.52550502505</v>
      </c>
      <c r="J33" s="39" t="n">
        <v>0.5307600753005</v>
      </c>
      <c r="K33" s="39" t="n">
        <v>0.536067676053505</v>
      </c>
      <c r="L33" s="39" t="n">
        <v>0.54142835281404</v>
      </c>
      <c r="M33" s="39" t="n">
        <v>0.54684263634218</v>
      </c>
      <c r="N33" s="39" t="n">
        <v>0.552311062705602</v>
      </c>
      <c r="O33" s="39" t="n">
        <v>0.557834173332658</v>
      </c>
      <c r="P33" s="39" t="n">
        <v>0.563412515065985</v>
      </c>
      <c r="Q33" s="39" t="n">
        <v>0.569046640216645</v>
      </c>
      <c r="R33" s="39" t="n">
        <v>0.574737106618811</v>
      </c>
      <c r="S33" s="39" t="n">
        <v>0.580484477684999</v>
      </c>
    </row>
    <row r="34" customFormat="false" ht="14.25" hidden="false" customHeight="true" outlineLevel="0" collapsed="false">
      <c r="B34" s="0" t="str">
        <f aca="false">B29</f>
        <v>Renewables (incl. Hydro)</v>
      </c>
      <c r="C34" s="25" t="s">
        <v>54</v>
      </c>
      <c r="D34" s="39" t="n">
        <v>0.2</v>
      </c>
      <c r="E34" s="39" t="n">
        <f aca="false">D34*1.015</f>
        <v>0.203</v>
      </c>
      <c r="F34" s="39" t="n">
        <f aca="false">E34*1.015</f>
        <v>0.206045</v>
      </c>
      <c r="G34" s="39" t="n">
        <f aca="false">F34*1.015</f>
        <v>0.209135675</v>
      </c>
      <c r="H34" s="39" t="n">
        <f aca="false">G34*1.015</f>
        <v>0.212272710125</v>
      </c>
      <c r="I34" s="39" t="n">
        <f aca="false">H34*1.015</f>
        <v>0.215456800776875</v>
      </c>
      <c r="J34" s="39" t="n">
        <f aca="false">I34*1.015</f>
        <v>0.218688652788528</v>
      </c>
      <c r="K34" s="39" t="n">
        <f aca="false">J34*1.015</f>
        <v>0.221968982580356</v>
      </c>
      <c r="L34" s="39" t="n">
        <f aca="false">K34*1.015</f>
        <v>0.225298517319061</v>
      </c>
      <c r="M34" s="39" t="n">
        <f aca="false">L34*1.015</f>
        <v>0.228677995078847</v>
      </c>
      <c r="N34" s="39" t="n">
        <f aca="false">M34*1.015</f>
        <v>0.23210816500503</v>
      </c>
      <c r="O34" s="39" t="n">
        <f aca="false">N34*1.015</f>
        <v>0.235589787480105</v>
      </c>
      <c r="P34" s="39" t="n">
        <f aca="false">O34*1.015</f>
        <v>0.239123634292307</v>
      </c>
      <c r="Q34" s="39" t="n">
        <f aca="false">P34*1.015</f>
        <v>0.242710488806691</v>
      </c>
      <c r="R34" s="39" t="n">
        <f aca="false">Q34*1.015</f>
        <v>0.246351146138792</v>
      </c>
      <c r="S34" s="39" t="n">
        <f aca="false">R34*1.015</f>
        <v>0.250046413330874</v>
      </c>
    </row>
    <row r="35" customFormat="false" ht="14.25" hidden="false" customHeight="true" outlineLevel="0" collapsed="false">
      <c r="C35" s="25"/>
    </row>
    <row r="36" customFormat="false" ht="14.25" hidden="false" customHeight="true" outlineLevel="0" collapsed="false">
      <c r="B36" s="38" t="s">
        <v>71</v>
      </c>
      <c r="C36" s="25" t="s">
        <v>72</v>
      </c>
    </row>
    <row r="37" customFormat="false" ht="14.25" hidden="false" customHeight="true" outlineLevel="0" collapsed="false">
      <c r="B37" s="0" t="str">
        <f aca="false">B27</f>
        <v>Coal</v>
      </c>
      <c r="C37" s="25" t="s">
        <v>73</v>
      </c>
      <c r="D37" s="26" t="n">
        <v>35</v>
      </c>
      <c r="E37" s="26" t="n">
        <v>35.35</v>
      </c>
      <c r="F37" s="26" t="n">
        <v>36.057</v>
      </c>
      <c r="G37" s="26" t="n">
        <v>37.13871</v>
      </c>
      <c r="H37" s="26" t="n">
        <v>38.6242584</v>
      </c>
      <c r="I37" s="26" t="n">
        <v>40.55547132</v>
      </c>
      <c r="J37" s="26" t="n">
        <v>42.9887995992</v>
      </c>
      <c r="K37" s="26" t="n">
        <v>45.998015571144</v>
      </c>
      <c r="L37" s="26" t="n">
        <v>49.6778568168355</v>
      </c>
      <c r="M37" s="26" t="n">
        <v>50.6714139531723</v>
      </c>
      <c r="N37" s="26" t="n">
        <v>51.6848422322357</v>
      </c>
      <c r="O37" s="26" t="n">
        <v>52.7185390768804</v>
      </c>
      <c r="P37" s="26" t="n">
        <v>53.772909858418</v>
      </c>
      <c r="Q37" s="26" t="n">
        <v>54.8483680555864</v>
      </c>
      <c r="R37" s="26" t="n">
        <v>55.9453354166981</v>
      </c>
      <c r="S37" s="26" t="n">
        <v>57.0642421250321</v>
      </c>
    </row>
    <row r="38" customFormat="false" ht="14.25" hidden="false" customHeight="true" outlineLevel="0" collapsed="false">
      <c r="B38" s="0" t="str">
        <f aca="false">B28</f>
        <v>CCGT</v>
      </c>
      <c r="C38" s="25" t="s">
        <v>73</v>
      </c>
      <c r="D38" s="26" t="n">
        <v>55</v>
      </c>
      <c r="E38" s="26" t="n">
        <v>54.726368159204</v>
      </c>
      <c r="F38" s="26" t="n">
        <v>54.1845229299049</v>
      </c>
      <c r="G38" s="26" t="n">
        <v>53.3837664334039</v>
      </c>
      <c r="H38" s="26" t="n">
        <v>52.3370259151019</v>
      </c>
      <c r="I38" s="26" t="n">
        <v>51.0605130879043</v>
      </c>
      <c r="J38" s="26" t="n">
        <v>49.5733136775769</v>
      </c>
      <c r="K38" s="26" t="n">
        <v>47.8969214276106</v>
      </c>
      <c r="L38" s="26" t="n">
        <v>46.0547321419332</v>
      </c>
      <c r="M38" s="26" t="n">
        <v>44.0715140114194</v>
      </c>
      <c r="N38" s="26" t="n">
        <v>41.9728704870661</v>
      </c>
      <c r="O38" s="26" t="n">
        <v>39.7847113621479</v>
      </c>
      <c r="P38" s="26" t="n">
        <v>37.5327465680641</v>
      </c>
      <c r="Q38" s="26" t="n">
        <v>35.2420155568677</v>
      </c>
      <c r="R38" s="26" t="n">
        <v>32.9364631372595</v>
      </c>
      <c r="S38" s="26" t="n">
        <v>30.6385703602414</v>
      </c>
    </row>
    <row r="39" customFormat="false" ht="14.25" hidden="false" customHeight="true" outlineLevel="0" collapsed="false">
      <c r="B39" s="0" t="str">
        <f aca="false">B29</f>
        <v>Renewables (incl. Hydro)</v>
      </c>
      <c r="C39" s="25" t="s">
        <v>73</v>
      </c>
      <c r="D39" s="26" t="n">
        <v>5</v>
      </c>
      <c r="E39" s="26" t="n">
        <v>5</v>
      </c>
      <c r="F39" s="26" t="n">
        <v>5</v>
      </c>
      <c r="G39" s="26" t="n">
        <v>5</v>
      </c>
      <c r="H39" s="26" t="n">
        <v>5</v>
      </c>
      <c r="I39" s="26" t="n">
        <v>5</v>
      </c>
      <c r="J39" s="26" t="n">
        <v>5</v>
      </c>
      <c r="K39" s="26" t="n">
        <v>5</v>
      </c>
      <c r="L39" s="26" t="n">
        <v>5</v>
      </c>
      <c r="M39" s="26" t="n">
        <v>5</v>
      </c>
      <c r="N39" s="26" t="n">
        <v>5</v>
      </c>
      <c r="O39" s="26" t="n">
        <v>5</v>
      </c>
      <c r="P39" s="26" t="n">
        <v>5</v>
      </c>
      <c r="Q39" s="26" t="n">
        <v>5</v>
      </c>
      <c r="R39" s="26" t="n">
        <v>5</v>
      </c>
      <c r="S39" s="26" t="n">
        <v>5</v>
      </c>
    </row>
    <row r="40" customFormat="false" ht="14.25" hidden="false" customHeight="true" outlineLevel="0" collapsed="false">
      <c r="C40" s="25"/>
    </row>
    <row r="41" customFormat="false" ht="15" hidden="false" customHeight="true" outlineLevel="0" collapsed="false">
      <c r="B41" s="40" t="s">
        <v>74</v>
      </c>
      <c r="C41" s="25"/>
    </row>
    <row r="42" customFormat="false" ht="14.25" hidden="false" customHeight="true" outlineLevel="0" collapsed="false">
      <c r="C42" s="25"/>
    </row>
    <row r="43" customFormat="false" ht="14.25" hidden="false" customHeight="true" outlineLevel="0" collapsed="false">
      <c r="C43" s="25"/>
      <c r="E43" s="41"/>
      <c r="F43" s="41"/>
      <c r="G43" s="41"/>
      <c r="H43" s="41"/>
      <c r="I43" s="41"/>
      <c r="J43" s="41"/>
      <c r="K43" s="41"/>
      <c r="L43" s="41"/>
      <c r="M43" s="41"/>
      <c r="N43" s="41"/>
      <c r="O43" s="41"/>
      <c r="P43" s="41"/>
      <c r="Q43" s="41"/>
      <c r="R43" s="41"/>
      <c r="S43" s="41"/>
    </row>
    <row r="44" customFormat="false" ht="17.25" hidden="false" customHeight="true" outlineLevel="0" collapsed="false">
      <c r="A44" s="42" t="n">
        <f aca="false">MAX($A$2:A43)+0.01</f>
        <v>1.04</v>
      </c>
      <c r="B44" s="43" t="s">
        <v>75</v>
      </c>
      <c r="C44" s="44"/>
      <c r="D44" s="45"/>
      <c r="E44" s="45"/>
      <c r="F44" s="45"/>
      <c r="G44" s="45"/>
      <c r="H44" s="45"/>
      <c r="I44" s="45"/>
      <c r="J44" s="45"/>
      <c r="K44" s="45"/>
      <c r="L44" s="45"/>
      <c r="M44" s="45"/>
      <c r="N44" s="45"/>
      <c r="O44" s="45"/>
      <c r="P44" s="45"/>
      <c r="Q44" s="45"/>
      <c r="R44" s="45"/>
      <c r="S44" s="45"/>
    </row>
    <row r="45" customFormat="false" ht="15" hidden="false" customHeight="true" outlineLevel="0" collapsed="false">
      <c r="C45" s="25"/>
    </row>
    <row r="46" customFormat="false" ht="14.25" hidden="false" customHeight="true" outlineLevel="0" collapsed="false">
      <c r="B46" s="46" t="s">
        <v>76</v>
      </c>
      <c r="C46" s="36"/>
    </row>
    <row r="47" customFormat="false" ht="14.25" hidden="false" customHeight="true" outlineLevel="0" collapsed="false">
      <c r="B47" s="8" t="s">
        <v>77</v>
      </c>
      <c r="C47" s="29" t="s">
        <v>78</v>
      </c>
      <c r="D47" s="47" t="n">
        <v>50</v>
      </c>
    </row>
    <row r="48" customFormat="false" ht="14.25" hidden="false" customHeight="true" outlineLevel="0" collapsed="false">
      <c r="B48" s="8" t="s">
        <v>79</v>
      </c>
      <c r="C48" s="29" t="s">
        <v>49</v>
      </c>
      <c r="D48" s="47" t="n">
        <v>2500</v>
      </c>
    </row>
    <row r="49" customFormat="false" ht="14.25" hidden="false" customHeight="true" outlineLevel="0" collapsed="false">
      <c r="B49" s="8" t="s">
        <v>80</v>
      </c>
      <c r="C49" s="29" t="s">
        <v>49</v>
      </c>
      <c r="D49" s="47" t="n">
        <v>2350</v>
      </c>
    </row>
    <row r="50" customFormat="false" ht="14.25" hidden="false" customHeight="true" outlineLevel="0" collapsed="false">
      <c r="B50" s="8" t="s">
        <v>81</v>
      </c>
      <c r="C50" s="29" t="s">
        <v>82</v>
      </c>
      <c r="D50" s="48" t="n">
        <v>1</v>
      </c>
      <c r="E50" s="49"/>
      <c r="F50" s="49"/>
      <c r="G50" s="49"/>
      <c r="H50" s="49"/>
      <c r="I50" s="49"/>
      <c r="J50" s="49"/>
      <c r="K50" s="49"/>
      <c r="L50" s="49"/>
      <c r="M50" s="49"/>
      <c r="N50" s="49"/>
      <c r="O50" s="49"/>
      <c r="P50" s="49"/>
      <c r="Q50" s="49"/>
      <c r="R50" s="49"/>
      <c r="S50" s="49"/>
    </row>
    <row r="51" customFormat="false" ht="14.25" hidden="false" customHeight="true" outlineLevel="0" collapsed="false">
      <c r="B51" s="8" t="s">
        <v>83</v>
      </c>
      <c r="C51" s="29" t="s">
        <v>84</v>
      </c>
      <c r="D51" s="50" t="n">
        <v>39448</v>
      </c>
      <c r="E51" s="49"/>
      <c r="F51" s="49"/>
      <c r="G51" s="49"/>
      <c r="H51" s="49"/>
      <c r="I51" s="49"/>
      <c r="J51" s="49"/>
      <c r="K51" s="49"/>
      <c r="L51" s="49"/>
      <c r="M51" s="49"/>
      <c r="N51" s="49"/>
      <c r="O51" s="49"/>
      <c r="P51" s="49"/>
      <c r="Q51" s="49"/>
      <c r="R51" s="49"/>
      <c r="S51" s="49"/>
    </row>
    <row r="52" customFormat="false" ht="14.25" hidden="false" customHeight="true" outlineLevel="0" collapsed="false">
      <c r="B52" s="8" t="s">
        <v>85</v>
      </c>
      <c r="C52" s="29" t="s">
        <v>86</v>
      </c>
      <c r="D52" s="47" t="n">
        <v>15</v>
      </c>
    </row>
    <row r="54" customFormat="false" ht="14.25" hidden="false" customHeight="true" outlineLevel="0" collapsed="false">
      <c r="B54" s="14" t="s">
        <v>87</v>
      </c>
    </row>
    <row r="55" customFormat="false" ht="14.25" hidden="false" customHeight="true" outlineLevel="0" collapsed="false">
      <c r="B55" s="8" t="s">
        <v>88</v>
      </c>
      <c r="C55" s="29" t="s">
        <v>89</v>
      </c>
      <c r="D55" s="47" t="n">
        <v>40</v>
      </c>
    </row>
    <row r="56" customFormat="false" ht="14.25" hidden="false" customHeight="true" outlineLevel="0" collapsed="false">
      <c r="B56" s="51" t="s">
        <v>90</v>
      </c>
      <c r="C56" s="52" t="s">
        <v>54</v>
      </c>
      <c r="E56" s="53" t="n">
        <f aca="false">MAX(E16-E57,0)</f>
        <v>0.01</v>
      </c>
      <c r="F56" s="53" t="n">
        <f aca="false">MAX(F16-F57,0)</f>
        <v>0.01</v>
      </c>
      <c r="G56" s="53" t="n">
        <f aca="false">MAX(G16-G57,0)</f>
        <v>0.01</v>
      </c>
      <c r="H56" s="53" t="n">
        <f aca="false">MAX(H16-H57,0)</f>
        <v>0.005</v>
      </c>
      <c r="I56" s="53" t="n">
        <f aca="false">MAX(I16-I57,0)</f>
        <v>0.005</v>
      </c>
      <c r="J56" s="53" t="n">
        <f aca="false">MAX(J16-J57,0)</f>
        <v>0.005</v>
      </c>
      <c r="K56" s="53" t="n">
        <f aca="false">MAX(K16-K57,0)</f>
        <v>0.005</v>
      </c>
      <c r="L56" s="53" t="n">
        <f aca="false">MAX(L16-L57,0)</f>
        <v>0.005</v>
      </c>
      <c r="M56" s="53" t="n">
        <f aca="false">MAX(M16-M57,0)</f>
        <v>0.005</v>
      </c>
      <c r="N56" s="53" t="n">
        <f aca="false">MAX(N16-N57,0)</f>
        <v>0.005</v>
      </c>
      <c r="O56" s="53" t="n">
        <f aca="false">MAX(O16-O57,0)</f>
        <v>0.005</v>
      </c>
      <c r="P56" s="53" t="n">
        <f aca="false">MAX(P16-P57,0)</f>
        <v>0.005</v>
      </c>
      <c r="Q56" s="53" t="n">
        <f aca="false">MAX(Q16-Q57,0)</f>
        <v>0.005</v>
      </c>
      <c r="R56" s="53" t="n">
        <f aca="false">MAX(R16-R57,0)</f>
        <v>0.005</v>
      </c>
      <c r="S56" s="53" t="n">
        <f aca="false">MAX(S16-S57,0)</f>
        <v>0.005</v>
      </c>
    </row>
    <row r="57" customFormat="false" ht="14.25" hidden="false" customHeight="true" outlineLevel="0" collapsed="false">
      <c r="B57" s="8" t="s">
        <v>91</v>
      </c>
      <c r="C57" s="29" t="s">
        <v>54</v>
      </c>
      <c r="D57" s="34" t="n">
        <v>0.015</v>
      </c>
      <c r="E57" s="34" t="n">
        <v>0.015</v>
      </c>
      <c r="F57" s="34" t="n">
        <v>0.015</v>
      </c>
      <c r="G57" s="34" t="n">
        <v>0.015</v>
      </c>
      <c r="H57" s="34" t="n">
        <v>0.015</v>
      </c>
      <c r="I57" s="34" t="n">
        <v>0.015</v>
      </c>
      <c r="J57" s="34" t="n">
        <v>0.015</v>
      </c>
      <c r="K57" s="34" t="n">
        <v>0.015</v>
      </c>
      <c r="L57" s="34" t="n">
        <v>0.015</v>
      </c>
      <c r="M57" s="34" t="n">
        <v>0.015</v>
      </c>
      <c r="N57" s="34" t="n">
        <v>0.015</v>
      </c>
      <c r="O57" s="34" t="n">
        <v>0.015</v>
      </c>
      <c r="P57" s="34" t="n">
        <v>0.015</v>
      </c>
      <c r="Q57" s="34" t="n">
        <v>0.015</v>
      </c>
      <c r="R57" s="34" t="n">
        <v>0.015</v>
      </c>
      <c r="S57" s="34" t="n">
        <v>0.015</v>
      </c>
    </row>
    <row r="58" customFormat="false" ht="14.25" hidden="false" customHeight="true" outlineLevel="0" collapsed="false">
      <c r="B58" s="8" t="s">
        <v>92</v>
      </c>
      <c r="C58" s="29" t="s">
        <v>86</v>
      </c>
      <c r="D58" s="47" t="n">
        <v>15</v>
      </c>
    </row>
    <row r="59" customFormat="false" ht="14.25" hidden="false" customHeight="true" outlineLevel="0" collapsed="false">
      <c r="B59" s="8" t="s">
        <v>93</v>
      </c>
      <c r="C59" s="29" t="s">
        <v>94</v>
      </c>
      <c r="D59" s="54" t="n">
        <f aca="false">YEAR(D51)+D58-1</f>
        <v>2022</v>
      </c>
    </row>
    <row r="61" customFormat="false" ht="14.25" hidden="false" customHeight="true" outlineLevel="0" collapsed="false">
      <c r="B61" s="14" t="s">
        <v>95</v>
      </c>
    </row>
    <row r="62" customFormat="false" ht="14.25" hidden="false" customHeight="true" outlineLevel="0" collapsed="false">
      <c r="B62" s="8" t="s">
        <v>96</v>
      </c>
      <c r="C62" s="29" t="s">
        <v>97</v>
      </c>
      <c r="D62" s="47" t="n">
        <v>50</v>
      </c>
    </row>
    <row r="63" customFormat="false" ht="14.25" hidden="false" customHeight="true" outlineLevel="0" collapsed="false">
      <c r="B63" s="8" t="s">
        <v>98</v>
      </c>
      <c r="C63" s="29" t="s">
        <v>89</v>
      </c>
      <c r="D63" s="47" t="n">
        <v>5</v>
      </c>
      <c r="E63" s="49"/>
      <c r="F63" s="49"/>
      <c r="G63" s="49"/>
      <c r="H63" s="49"/>
      <c r="I63" s="49"/>
      <c r="J63" s="49"/>
      <c r="K63" s="49"/>
      <c r="L63" s="49"/>
      <c r="M63" s="49"/>
      <c r="N63" s="49"/>
      <c r="O63" s="49"/>
      <c r="P63" s="49"/>
      <c r="Q63" s="49"/>
      <c r="R63" s="49"/>
      <c r="S63" s="49"/>
    </row>
    <row r="64" customFormat="false" ht="14.25" hidden="false" customHeight="true" outlineLevel="0" collapsed="false">
      <c r="B64" s="8" t="s">
        <v>99</v>
      </c>
      <c r="C64" s="29" t="s">
        <v>54</v>
      </c>
      <c r="D64" s="34" t="n">
        <v>0.0025</v>
      </c>
      <c r="E64" s="34" t="n">
        <v>0.0025</v>
      </c>
      <c r="F64" s="34" t="n">
        <v>0.0025</v>
      </c>
      <c r="G64" s="34" t="n">
        <v>0.0025</v>
      </c>
      <c r="H64" s="34" t="n">
        <v>0.0025</v>
      </c>
      <c r="I64" s="34" t="n">
        <v>0.0025</v>
      </c>
      <c r="J64" s="34" t="n">
        <v>0.0025</v>
      </c>
      <c r="K64" s="34" t="n">
        <v>0.0025</v>
      </c>
      <c r="L64" s="34" t="n">
        <v>0.0025</v>
      </c>
      <c r="M64" s="34" t="n">
        <v>0.0025</v>
      </c>
      <c r="N64" s="34" t="n">
        <v>0.0025</v>
      </c>
      <c r="O64" s="34" t="n">
        <v>0.0025</v>
      </c>
      <c r="P64" s="34" t="n">
        <v>0.0025</v>
      </c>
      <c r="Q64" s="34" t="n">
        <v>0.0025</v>
      </c>
      <c r="R64" s="34" t="n">
        <v>0.0025</v>
      </c>
      <c r="S64" s="34" t="n">
        <v>0.0025</v>
      </c>
    </row>
    <row r="65" customFormat="false" ht="14.25" hidden="false" customHeight="true" outlineLevel="0" collapsed="false">
      <c r="B65" s="8" t="s">
        <v>100</v>
      </c>
      <c r="C65" s="29" t="s">
        <v>54</v>
      </c>
      <c r="D65" s="49"/>
      <c r="E65" s="53" t="n">
        <f aca="false">E16+E64</f>
        <v>0.0275</v>
      </c>
      <c r="F65" s="53" t="n">
        <f aca="false">F16+F64</f>
        <v>0.0275</v>
      </c>
      <c r="G65" s="53" t="n">
        <f aca="false">G16+G64</f>
        <v>0.0275</v>
      </c>
      <c r="H65" s="53" t="n">
        <f aca="false">H16+H64</f>
        <v>0.0225</v>
      </c>
      <c r="I65" s="53" t="n">
        <f aca="false">I16+I64</f>
        <v>0.0225</v>
      </c>
      <c r="J65" s="53" t="n">
        <f aca="false">J16+J64</f>
        <v>0.0225</v>
      </c>
      <c r="K65" s="53" t="n">
        <f aca="false">K16+K64</f>
        <v>0.0225</v>
      </c>
      <c r="L65" s="53" t="n">
        <f aca="false">L16+L64</f>
        <v>0.0225</v>
      </c>
      <c r="M65" s="53" t="n">
        <f aca="false">M16+M64</f>
        <v>0.0225</v>
      </c>
      <c r="N65" s="53" t="n">
        <f aca="false">N16+N64</f>
        <v>0.0225</v>
      </c>
      <c r="O65" s="53" t="n">
        <f aca="false">O16+O64</f>
        <v>0.0225</v>
      </c>
      <c r="P65" s="53" t="n">
        <f aca="false">P16+P64</f>
        <v>0.0225</v>
      </c>
      <c r="Q65" s="53" t="n">
        <f aca="false">Q16+Q64</f>
        <v>0.0225</v>
      </c>
      <c r="R65" s="53" t="n">
        <f aca="false">R16+R64</f>
        <v>0.0225</v>
      </c>
      <c r="S65" s="53" t="n">
        <f aca="false">S16+S64</f>
        <v>0.0225</v>
      </c>
    </row>
    <row r="67" customFormat="false" ht="14.25" hidden="false" customHeight="true" outlineLevel="0" collapsed="false">
      <c r="A67" s="55" t="n">
        <f aca="false">MAX($A$2:A66)+0.01</f>
        <v>1.05</v>
      </c>
      <c r="B67" s="56" t="s">
        <v>101</v>
      </c>
      <c r="C67" s="57"/>
      <c r="D67" s="57"/>
      <c r="E67" s="57"/>
      <c r="F67" s="57"/>
      <c r="G67" s="57"/>
      <c r="H67" s="57"/>
      <c r="I67" s="57"/>
      <c r="J67" s="57"/>
      <c r="K67" s="57"/>
      <c r="L67" s="57"/>
      <c r="M67" s="57"/>
      <c r="N67" s="57"/>
      <c r="O67" s="57"/>
      <c r="P67" s="57"/>
      <c r="Q67" s="57"/>
      <c r="R67" s="57"/>
      <c r="S67" s="57"/>
    </row>
    <row r="69" customFormat="false" ht="14.25" hidden="false" customHeight="true" outlineLevel="0" collapsed="false">
      <c r="B69" s="8" t="s">
        <v>102</v>
      </c>
      <c r="C69" s="29" t="s">
        <v>54</v>
      </c>
      <c r="D69" s="34" t="n">
        <v>0.25</v>
      </c>
    </row>
    <row r="70" customFormat="false" ht="14.25" hidden="false" customHeight="true" outlineLevel="0" collapsed="false">
      <c r="B70" s="8" t="s">
        <v>103</v>
      </c>
      <c r="C70" s="29" t="s">
        <v>54</v>
      </c>
      <c r="D70" s="58" t="n">
        <v>0.3</v>
      </c>
      <c r="T70" s="29"/>
      <c r="U70" s="29" t="s">
        <v>104</v>
      </c>
    </row>
    <row r="72" customFormat="false" ht="14.25" hidden="false" customHeight="true" outlineLevel="0" collapsed="false">
      <c r="A72" s="55" t="n">
        <f aca="false">MAX($A$2:A71)+0.01</f>
        <v>1.06</v>
      </c>
      <c r="B72" s="56" t="s">
        <v>105</v>
      </c>
      <c r="C72" s="57"/>
      <c r="D72" s="57"/>
      <c r="E72" s="57"/>
      <c r="F72" s="57"/>
      <c r="G72" s="57"/>
      <c r="H72" s="57"/>
      <c r="I72" s="57"/>
      <c r="J72" s="57"/>
      <c r="K72" s="57"/>
      <c r="L72" s="57"/>
      <c r="M72" s="57"/>
      <c r="N72" s="57"/>
      <c r="O72" s="57"/>
      <c r="P72" s="57"/>
      <c r="Q72" s="57"/>
      <c r="R72" s="57"/>
      <c r="S72" s="57"/>
    </row>
    <row r="74" customFormat="false" ht="14.25" hidden="false" customHeight="true" outlineLevel="0" collapsed="false">
      <c r="B74" s="8" t="s">
        <v>106</v>
      </c>
      <c r="C74" s="29" t="s">
        <v>86</v>
      </c>
      <c r="D74" s="47" t="n">
        <v>12</v>
      </c>
    </row>
    <row r="75" customFormat="false" ht="14.25" hidden="false" customHeight="true" outlineLevel="0" collapsed="false">
      <c r="B75" s="8" t="s">
        <v>107</v>
      </c>
      <c r="C75" s="29" t="s">
        <v>54</v>
      </c>
      <c r="D75" s="34" t="n">
        <v>0.03</v>
      </c>
    </row>
    <row r="76" customFormat="false" ht="14.25" hidden="false" customHeight="true" outlineLevel="0" collapsed="false">
      <c r="B76" s="8" t="s">
        <v>108</v>
      </c>
      <c r="C76" s="29" t="s">
        <v>54</v>
      </c>
      <c r="D76" s="34" t="n">
        <v>0.02</v>
      </c>
    </row>
    <row r="77" customFormat="false" ht="14.25" hidden="false" customHeight="true" outlineLevel="0" collapsed="false">
      <c r="B77" s="8" t="s">
        <v>109</v>
      </c>
      <c r="C77" s="29" t="s">
        <v>54</v>
      </c>
      <c r="D77" s="34" t="n">
        <v>0.85</v>
      </c>
    </row>
    <row r="78" customFormat="false" ht="14.25" hidden="false" customHeight="true" outlineLevel="0" collapsed="false">
      <c r="B78" s="8" t="s">
        <v>110</v>
      </c>
      <c r="C78" s="29" t="s">
        <v>111</v>
      </c>
      <c r="D78" s="59" t="n">
        <v>1.3</v>
      </c>
    </row>
    <row r="79" customFormat="false" ht="14.25" hidden="false" customHeight="true" outlineLevel="0" collapsed="false">
      <c r="B79" s="8" t="s">
        <v>112</v>
      </c>
      <c r="C79" s="29" t="s">
        <v>54</v>
      </c>
      <c r="D79" s="34" t="n">
        <v>0.85</v>
      </c>
    </row>
    <row r="80" customFormat="false" ht="14.25" hidden="false" customHeight="true" outlineLevel="0" collapsed="false">
      <c r="B80" s="8" t="s">
        <v>113</v>
      </c>
      <c r="C80" s="29" t="s">
        <v>54</v>
      </c>
      <c r="E80" s="53" t="n">
        <f aca="false">E17+$D$75</f>
        <v>0.0386301430566977</v>
      </c>
      <c r="F80" s="53" t="n">
        <f aca="false">F17+$D$75</f>
        <v>0.0394860561381946</v>
      </c>
      <c r="G80" s="53" t="n">
        <f aca="false">G17+$D$75</f>
        <v>0.0427079463311444</v>
      </c>
      <c r="H80" s="53" t="n">
        <f aca="false">H17+$D$75</f>
        <v>0.0466946523418379</v>
      </c>
      <c r="I80" s="53" t="n">
        <f aca="false">I17+$D$75</f>
        <v>0.0505489439928301</v>
      </c>
      <c r="J80" s="53" t="n">
        <f aca="false">J17+$D$75</f>
        <v>0.053015623724163</v>
      </c>
      <c r="K80" s="53" t="n">
        <f aca="false">K17+$D$75</f>
        <v>0.0542239615559297</v>
      </c>
      <c r="L80" s="53" t="n">
        <f aca="false">L17+$D$75</f>
        <v>0.0553434019583352</v>
      </c>
      <c r="M80" s="53" t="n">
        <f aca="false">M17+$D$75</f>
        <v>0.0559472025737839</v>
      </c>
      <c r="N80" s="53" t="n">
        <f aca="false">N17+$D$75</f>
        <v>0.057337059176467</v>
      </c>
      <c r="O80" s="53" t="n">
        <f aca="false">O17+$D$75</f>
        <v>0.0576576669826099</v>
      </c>
      <c r="P80" s="53" t="n">
        <f aca="false">P17+$D$75</f>
        <v>0.0576576669826099</v>
      </c>
      <c r="Q80" s="53" t="n">
        <f aca="false">Q17+$D$75</f>
        <v>0.0564927456669886</v>
      </c>
      <c r="R80" s="53" t="n">
        <f aca="false">R17+$D$75</f>
        <v>0.0564927456669886</v>
      </c>
      <c r="S80" s="53" t="n">
        <f aca="false">S17+$D$75</f>
        <v>0.0564927456669886</v>
      </c>
    </row>
    <row r="82" customFormat="false" ht="14.25" hidden="false" customHeight="true" outlineLevel="0" collapsed="false">
      <c r="A82" s="55" t="n">
        <f aca="false">MAX($A$2:A81)+0.01</f>
        <v>1.07</v>
      </c>
      <c r="B82" s="56" t="s">
        <v>114</v>
      </c>
      <c r="C82" s="57"/>
      <c r="D82" s="57"/>
      <c r="E82" s="57"/>
      <c r="F82" s="57"/>
      <c r="G82" s="57"/>
      <c r="H82" s="57"/>
      <c r="I82" s="57"/>
      <c r="J82" s="57"/>
      <c r="K82" s="57"/>
      <c r="L82" s="57"/>
      <c r="M82" s="57"/>
      <c r="N82" s="57"/>
      <c r="O82" s="57"/>
      <c r="P82" s="57"/>
      <c r="Q82" s="57"/>
      <c r="R82" s="57"/>
      <c r="S82" s="57"/>
    </row>
    <row r="84" customFormat="false" ht="14.25" hidden="false" customHeight="true" outlineLevel="0" collapsed="false">
      <c r="B84" s="8" t="s">
        <v>106</v>
      </c>
      <c r="C84" s="29" t="s">
        <v>86</v>
      </c>
      <c r="D84" s="47" t="n">
        <v>5</v>
      </c>
    </row>
    <row r="85" customFormat="false" ht="14.25" hidden="false" customHeight="true" outlineLevel="0" collapsed="false">
      <c r="B85" s="8" t="s">
        <v>115</v>
      </c>
      <c r="C85" s="29" t="s">
        <v>54</v>
      </c>
      <c r="D85" s="34" t="n">
        <v>0.09</v>
      </c>
    </row>
    <row r="86" customFormat="false" ht="14.25" hidden="false" customHeight="true" outlineLevel="0" collapsed="false">
      <c r="B86" s="8" t="s">
        <v>116</v>
      </c>
      <c r="C86" s="29" t="s">
        <v>111</v>
      </c>
      <c r="D86" s="60" t="n">
        <v>1.2</v>
      </c>
    </row>
    <row r="87" customFormat="false" ht="14.25" hidden="false" customHeight="true" outlineLevel="0" collapsed="false">
      <c r="B87" s="8" t="s">
        <v>117</v>
      </c>
      <c r="C87" s="29" t="s">
        <v>111</v>
      </c>
      <c r="D87" s="61" t="n">
        <f aca="false">(1-(1+D85)^-D84)/D85</f>
        <v>3.88965126335172</v>
      </c>
    </row>
    <row r="89" customFormat="false" ht="14.25" hidden="false" customHeight="true" outlineLevel="0" collapsed="false">
      <c r="A89" s="55" t="n">
        <f aca="false">MAX($A$2:A88)+0.01</f>
        <v>1.08</v>
      </c>
      <c r="B89" s="56" t="s">
        <v>118</v>
      </c>
      <c r="C89" s="57"/>
      <c r="D89" s="57"/>
      <c r="E89" s="57"/>
      <c r="F89" s="57"/>
      <c r="G89" s="57"/>
      <c r="H89" s="57"/>
      <c r="I89" s="57"/>
      <c r="J89" s="57"/>
      <c r="K89" s="57"/>
      <c r="L89" s="57"/>
      <c r="M89" s="57"/>
      <c r="N89" s="57"/>
      <c r="O89" s="57"/>
      <c r="P89" s="57"/>
      <c r="Q89" s="57"/>
      <c r="R89" s="57"/>
      <c r="S89" s="57"/>
    </row>
    <row r="91" customFormat="false" ht="14.25" hidden="false" customHeight="true" outlineLevel="0" collapsed="false">
      <c r="B91" s="8" t="s">
        <v>119</v>
      </c>
      <c r="C91" s="29" t="s">
        <v>84</v>
      </c>
      <c r="D91" s="50" t="n">
        <v>41274</v>
      </c>
    </row>
    <row r="92" customFormat="false" ht="14.25" hidden="false" customHeight="true" outlineLevel="0" collapsed="false">
      <c r="B92" s="8" t="s">
        <v>120</v>
      </c>
      <c r="C92" s="29" t="s">
        <v>121</v>
      </c>
      <c r="D92" s="47" t="n">
        <v>500</v>
      </c>
    </row>
    <row r="93" customFormat="false" ht="14.25" hidden="false" customHeight="true" outlineLevel="0" collapsed="false">
      <c r="B93" s="8" t="s">
        <v>122</v>
      </c>
      <c r="C93" s="29" t="s">
        <v>54</v>
      </c>
      <c r="D93" s="58" t="n">
        <v>0.12</v>
      </c>
    </row>
    <row r="95" customFormat="false" ht="14.25" hidden="false" customHeight="true" outlineLevel="0" collapsed="false">
      <c r="B95" s="8" t="s">
        <v>123</v>
      </c>
      <c r="C95" s="29" t="s">
        <v>94</v>
      </c>
      <c r="D95" s="62" t="n">
        <v>2014</v>
      </c>
    </row>
    <row r="96" customFormat="false" ht="14.25" hidden="false" customHeight="true" outlineLevel="0" collapsed="false">
      <c r="B96" s="8" t="s">
        <v>124</v>
      </c>
      <c r="C96" s="29" t="s">
        <v>54</v>
      </c>
      <c r="D96" s="34" t="n">
        <v>0.11</v>
      </c>
    </row>
    <row r="97" customFormat="false" ht="14.25" hidden="false" customHeight="true" outlineLevel="0" collapsed="false">
      <c r="B97" s="8" t="s">
        <v>125</v>
      </c>
      <c r="C97" s="29" t="s">
        <v>54</v>
      </c>
      <c r="D97" s="34" t="n">
        <v>0.0025</v>
      </c>
    </row>
    <row r="99" customFormat="false" ht="14.25" hidden="false" customHeight="true" outlineLevel="0" collapsed="false">
      <c r="B99" s="14" t="s">
        <v>126</v>
      </c>
    </row>
    <row r="100" customFormat="false" ht="14.25" hidden="false" customHeight="true" outlineLevel="0" collapsed="false">
      <c r="B100" s="63" t="s">
        <v>127</v>
      </c>
    </row>
    <row r="101" customFormat="false" ht="14.25" hidden="false" customHeight="true" outlineLevel="0" collapsed="false">
      <c r="B101" s="8" t="s">
        <v>128</v>
      </c>
    </row>
    <row r="102" customFormat="false" ht="14.25" hidden="false" customHeight="true" outlineLevel="0" collapsed="false">
      <c r="B102" s="64" t="s">
        <v>129</v>
      </c>
    </row>
    <row r="103" customFormat="false" ht="14.25" hidden="false" customHeight="true" outlineLevel="0" collapsed="false">
      <c r="B103" s="65" t="s">
        <v>130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2:U145"/>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3" ySplit="6" topLeftCell="D137" activePane="bottomRight" state="frozen"/>
      <selection pane="topLeft" activeCell="A1" activeCellId="0" sqref="A1"/>
      <selection pane="topRight" activeCell="D1" activeCellId="0" sqref="D1"/>
      <selection pane="bottomLeft" activeCell="A137" activeCellId="0" sqref="A137"/>
      <selection pane="bottomRight" activeCell="E122" activeCellId="0" sqref="E122"/>
    </sheetView>
  </sheetViews>
  <sheetFormatPr defaultColWidth="100.00390625" defaultRowHeight="14.2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6"/>
    <col collapsed="false" customWidth="true" hidden="false" outlineLevel="0" max="19" min="4" style="0" width="10.56"/>
    <col collapsed="false" customWidth="true" hidden="false" outlineLevel="0" max="20" min="20" style="0" width="4"/>
    <col collapsed="false" customWidth="false" hidden="true" outlineLevel="0" max="16383" min="21" style="0" width="100"/>
    <col collapsed="false" customWidth="true" hidden="false" outlineLevel="0" max="16384" min="16384" style="0" width="8.67"/>
  </cols>
  <sheetData>
    <row r="2" customFormat="false" ht="21.75" hidden="false" customHeight="true" outlineLevel="0" collapsed="false">
      <c r="A2" s="1" t="n">
        <f aca="false">Assumptions!A2+1</f>
        <v>2</v>
      </c>
      <c r="B2" s="2" t="s">
        <v>131</v>
      </c>
      <c r="C2" s="3"/>
      <c r="D2" s="3"/>
      <c r="E2" s="3"/>
      <c r="F2" s="3"/>
      <c r="G2" s="3"/>
      <c r="H2" s="3"/>
      <c r="I2" s="3"/>
      <c r="J2" s="3"/>
      <c r="K2" s="3"/>
      <c r="L2" s="3"/>
      <c r="M2" s="3"/>
      <c r="N2" s="3"/>
      <c r="O2" s="3"/>
      <c r="P2" s="3"/>
      <c r="Q2" s="3"/>
      <c r="R2" s="3"/>
      <c r="S2" s="3"/>
    </row>
    <row r="3" customFormat="false" ht="15" hidden="false" customHeight="true" outlineLevel="0" collapsed="false"/>
    <row r="4" customFormat="false" ht="14.25" hidden="false" customHeight="true" outlineLevel="0" collapsed="false">
      <c r="B4" s="18" t="s">
        <v>44</v>
      </c>
      <c r="D4" s="19" t="n">
        <f aca="false">timeline</f>
        <v>41274</v>
      </c>
      <c r="E4" s="19" t="n">
        <f aca="false">timeline</f>
        <v>41639</v>
      </c>
      <c r="F4" s="19" t="n">
        <f aca="false">timeline</f>
        <v>42004</v>
      </c>
      <c r="G4" s="19" t="n">
        <f aca="false">timeline</f>
        <v>42369</v>
      </c>
      <c r="H4" s="19" t="n">
        <f aca="false">timeline</f>
        <v>42735</v>
      </c>
      <c r="I4" s="19" t="n">
        <f aca="false">timeline</f>
        <v>43100</v>
      </c>
      <c r="J4" s="19" t="n">
        <f aca="false">timeline</f>
        <v>43465</v>
      </c>
      <c r="K4" s="19" t="n">
        <f aca="false">timeline</f>
        <v>43830</v>
      </c>
      <c r="L4" s="19" t="n">
        <f aca="false">timeline</f>
        <v>44196</v>
      </c>
      <c r="M4" s="19" t="n">
        <f aca="false">timeline</f>
        <v>44561</v>
      </c>
      <c r="N4" s="19" t="n">
        <f aca="false">timeline</f>
        <v>44926</v>
      </c>
      <c r="O4" s="19" t="n">
        <f aca="false">timeline</f>
        <v>45291</v>
      </c>
      <c r="P4" s="19" t="n">
        <f aca="false">timeline</f>
        <v>45657</v>
      </c>
      <c r="Q4" s="19" t="n">
        <f aca="false">timeline</f>
        <v>46022</v>
      </c>
      <c r="R4" s="19" t="n">
        <f aca="false">timeline</f>
        <v>46387</v>
      </c>
      <c r="S4" s="19" t="n">
        <f aca="false">timeline</f>
        <v>46752</v>
      </c>
    </row>
    <row r="5" customFormat="false" ht="14.25" hidden="false" customHeight="true" outlineLevel="0" collapsed="false">
      <c r="B5" s="18" t="s">
        <v>45</v>
      </c>
      <c r="D5" s="20" t="n">
        <f aca="false">YEAR(D4)</f>
        <v>2012</v>
      </c>
      <c r="E5" s="20" t="n">
        <f aca="false">YEAR(E4)</f>
        <v>2013</v>
      </c>
      <c r="F5" s="20" t="n">
        <f aca="false">YEAR(F4)</f>
        <v>2014</v>
      </c>
      <c r="G5" s="20" t="n">
        <f aca="false">YEAR(G4)</f>
        <v>2015</v>
      </c>
      <c r="H5" s="20" t="n">
        <f aca="false">YEAR(H4)</f>
        <v>2016</v>
      </c>
      <c r="I5" s="20" t="n">
        <f aca="false">YEAR(I4)</f>
        <v>2017</v>
      </c>
      <c r="J5" s="20" t="n">
        <f aca="false">YEAR(J4)</f>
        <v>2018</v>
      </c>
      <c r="K5" s="20" t="n">
        <f aca="false">YEAR(K4)</f>
        <v>2019</v>
      </c>
      <c r="L5" s="20" t="n">
        <f aca="false">YEAR(L4)</f>
        <v>2020</v>
      </c>
      <c r="M5" s="20" t="n">
        <f aca="false">YEAR(M4)</f>
        <v>2021</v>
      </c>
      <c r="N5" s="20" t="n">
        <f aca="false">YEAR(N4)</f>
        <v>2022</v>
      </c>
      <c r="O5" s="20" t="n">
        <f aca="false">YEAR(O4)</f>
        <v>2023</v>
      </c>
      <c r="P5" s="20" t="n">
        <f aca="false">YEAR(P4)</f>
        <v>2024</v>
      </c>
      <c r="Q5" s="20" t="n">
        <f aca="false">YEAR(Q4)</f>
        <v>2025</v>
      </c>
      <c r="R5" s="20" t="n">
        <f aca="false">YEAR(R4)</f>
        <v>2026</v>
      </c>
      <c r="S5" s="20" t="n">
        <f aca="false">YEAR(S4)</f>
        <v>2027</v>
      </c>
    </row>
    <row r="6" customFormat="false" ht="14.25" hidden="false" customHeight="true" outlineLevel="0" collapsed="false">
      <c r="B6" s="21" t="s">
        <v>46</v>
      </c>
      <c r="C6" s="22"/>
      <c r="D6" s="23" t="n">
        <v>0</v>
      </c>
      <c r="E6" s="23" t="n">
        <f aca="false">D6+1</f>
        <v>1</v>
      </c>
      <c r="F6" s="23" t="n">
        <f aca="false">E6+1</f>
        <v>2</v>
      </c>
      <c r="G6" s="23" t="n">
        <f aca="false">F6+1</f>
        <v>3</v>
      </c>
      <c r="H6" s="23" t="n">
        <f aca="false">G6+1</f>
        <v>4</v>
      </c>
      <c r="I6" s="23" t="n">
        <f aca="false">H6+1</f>
        <v>5</v>
      </c>
      <c r="J6" s="23" t="n">
        <f aca="false">I6+1</f>
        <v>6</v>
      </c>
      <c r="K6" s="23" t="n">
        <f aca="false">J6+1</f>
        <v>7</v>
      </c>
      <c r="L6" s="23" t="n">
        <f aca="false">K6+1</f>
        <v>8</v>
      </c>
      <c r="M6" s="23" t="n">
        <f aca="false">L6+1</f>
        <v>9</v>
      </c>
      <c r="N6" s="23" t="n">
        <f aca="false">M6+1</f>
        <v>10</v>
      </c>
      <c r="O6" s="23" t="n">
        <f aca="false">N6+1</f>
        <v>11</v>
      </c>
      <c r="P6" s="23" t="n">
        <f aca="false">O6+1</f>
        <v>12</v>
      </c>
      <c r="Q6" s="23" t="n">
        <f aca="false">P6+1</f>
        <v>13</v>
      </c>
      <c r="R6" s="23" t="n">
        <f aca="false">Q6+1</f>
        <v>14</v>
      </c>
      <c r="S6" s="23" t="n">
        <f aca="false">R6+1</f>
        <v>15</v>
      </c>
    </row>
    <row r="8" customFormat="false" ht="14.25" hidden="false" customHeight="true" outlineLevel="0" collapsed="false">
      <c r="B8" s="8" t="s">
        <v>132</v>
      </c>
      <c r="C8" s="29" t="s">
        <v>111</v>
      </c>
      <c r="D8" s="61" t="n">
        <v>1</v>
      </c>
      <c r="E8" s="61" t="n">
        <f aca="false">D8*(1+Assumptions!E16)</f>
        <v>1.025</v>
      </c>
      <c r="F8" s="61" t="n">
        <f aca="false">E8*(1+Assumptions!F16)</f>
        <v>1.050625</v>
      </c>
      <c r="G8" s="61" t="n">
        <f aca="false">F8*(1+Assumptions!G16)</f>
        <v>1.076890625</v>
      </c>
      <c r="H8" s="61" t="n">
        <f aca="false">G8*(1+Assumptions!H16)</f>
        <v>1.0984284375</v>
      </c>
      <c r="I8" s="61" t="n">
        <f aca="false">H8*(1+Assumptions!I16)</f>
        <v>1.12039700625</v>
      </c>
      <c r="J8" s="61" t="n">
        <f aca="false">I8*(1+Assumptions!J16)</f>
        <v>1.142804946375</v>
      </c>
      <c r="K8" s="61" t="n">
        <f aca="false">J8*(1+Assumptions!K16)</f>
        <v>1.1656610453025</v>
      </c>
      <c r="L8" s="61" t="n">
        <f aca="false">K8*(1+Assumptions!L16)</f>
        <v>1.18897426620855</v>
      </c>
      <c r="M8" s="61" t="n">
        <f aca="false">L8*(1+Assumptions!M16)</f>
        <v>1.21275375153272</v>
      </c>
      <c r="N8" s="61" t="n">
        <f aca="false">M8*(1+Assumptions!N16)</f>
        <v>1.23700882656338</v>
      </c>
      <c r="O8" s="61" t="n">
        <f aca="false">N8*(1+Assumptions!O16)</f>
        <v>1.26174900309464</v>
      </c>
      <c r="P8" s="61" t="n">
        <f aca="false">O8*(1+Assumptions!P16)</f>
        <v>1.28698398315654</v>
      </c>
      <c r="Q8" s="61" t="n">
        <f aca="false">P8*(1+Assumptions!Q16)</f>
        <v>1.31272366281967</v>
      </c>
      <c r="R8" s="61" t="n">
        <f aca="false">Q8*(1+Assumptions!R16)</f>
        <v>1.33897813607606</v>
      </c>
      <c r="S8" s="61" t="n">
        <f aca="false">R8*(1+Assumptions!S16)</f>
        <v>1.36575769879758</v>
      </c>
    </row>
    <row r="9" customFormat="false" ht="14.25" hidden="false" customHeight="true" outlineLevel="0" collapsed="false">
      <c r="B9" s="8" t="s">
        <v>133</v>
      </c>
      <c r="C9" s="29" t="s">
        <v>111</v>
      </c>
      <c r="D9" s="61" t="n">
        <v>1</v>
      </c>
      <c r="E9" s="61" t="n">
        <f aca="false">D9*(1+Assumptions!E65)</f>
        <v>1.0275</v>
      </c>
      <c r="F9" s="61" t="n">
        <f aca="false">E9*(1+Assumptions!F65)</f>
        <v>1.05575625</v>
      </c>
      <c r="G9" s="61" t="n">
        <f aca="false">F9*(1+Assumptions!G65)</f>
        <v>1.084789546875</v>
      </c>
      <c r="H9" s="61" t="n">
        <f aca="false">G9*(1+Assumptions!H65)</f>
        <v>1.10919731167969</v>
      </c>
      <c r="I9" s="61" t="n">
        <f aca="false">H9*(1+Assumptions!I65)</f>
        <v>1.13415425119248</v>
      </c>
      <c r="J9" s="61" t="n">
        <f aca="false">I9*(1+Assumptions!J65)</f>
        <v>1.15967272184431</v>
      </c>
      <c r="K9" s="61" t="n">
        <f aca="false">J9*(1+Assumptions!K65)</f>
        <v>1.18576535808581</v>
      </c>
      <c r="L9" s="61" t="n">
        <f aca="false">K9*(1+Assumptions!L65)</f>
        <v>1.21244507864274</v>
      </c>
      <c r="M9" s="61" t="n">
        <f aca="false">L9*(1+Assumptions!M65)</f>
        <v>1.2397250929122</v>
      </c>
      <c r="N9" s="61" t="n">
        <f aca="false">M9*(1+Assumptions!N65)</f>
        <v>1.26761890750273</v>
      </c>
      <c r="O9" s="61" t="n">
        <f aca="false">N9*(1+Assumptions!O65)</f>
        <v>1.29614033292154</v>
      </c>
      <c r="P9" s="61" t="n">
        <f aca="false">O9*(1+Assumptions!P65)</f>
        <v>1.32530349041227</v>
      </c>
      <c r="Q9" s="61" t="n">
        <f aca="false">P9*(1+Assumptions!Q65)</f>
        <v>1.35512281894655</v>
      </c>
      <c r="R9" s="61" t="n">
        <f aca="false">Q9*(1+Assumptions!R65)</f>
        <v>1.38561308237284</v>
      </c>
      <c r="S9" s="61" t="n">
        <f aca="false">R9*(1+Assumptions!S65)</f>
        <v>1.41678937672623</v>
      </c>
    </row>
    <row r="10" customFormat="false" ht="14.25" hidden="false" customHeight="true" outlineLevel="0" collapsed="false">
      <c r="B10" s="8" t="s">
        <v>134</v>
      </c>
      <c r="C10" s="29" t="s">
        <v>111</v>
      </c>
      <c r="D10" s="61" t="n">
        <v>1</v>
      </c>
      <c r="E10" s="61" t="n">
        <f aca="false">D10*(1+Assumptions!E56)</f>
        <v>1.01</v>
      </c>
      <c r="F10" s="61" t="n">
        <f aca="false">E10*(1+Assumptions!F56)</f>
        <v>1.0201</v>
      </c>
      <c r="G10" s="61" t="n">
        <f aca="false">F10*(1+Assumptions!G56)</f>
        <v>1.030301</v>
      </c>
      <c r="H10" s="61" t="n">
        <f aca="false">G10*(1+Assumptions!H56)</f>
        <v>1.035452505</v>
      </c>
      <c r="I10" s="61" t="n">
        <f aca="false">H10*(1+Assumptions!I56)</f>
        <v>1.040629767525</v>
      </c>
      <c r="J10" s="61" t="n">
        <f aca="false">I10*(1+Assumptions!J56)</f>
        <v>1.04583291636262</v>
      </c>
      <c r="K10" s="61" t="n">
        <f aca="false">J10*(1+Assumptions!K56)</f>
        <v>1.05106208094444</v>
      </c>
      <c r="L10" s="61" t="n">
        <f aca="false">K10*(1+Assumptions!L56)</f>
        <v>1.05631739134916</v>
      </c>
      <c r="M10" s="61" t="n">
        <f aca="false">L10*(1+Assumptions!M56)</f>
        <v>1.06159897830591</v>
      </c>
      <c r="N10" s="61" t="n">
        <f aca="false">M10*(1+Assumptions!N56)</f>
        <v>1.06690697319744</v>
      </c>
      <c r="O10" s="61" t="n">
        <f aca="false">N10*(1+Assumptions!O56)</f>
        <v>1.07224150806342</v>
      </c>
      <c r="P10" s="61" t="n">
        <f aca="false">O10*(1+Assumptions!P56)</f>
        <v>1.07760271560374</v>
      </c>
      <c r="Q10" s="61" t="n">
        <f aca="false">P10*(1+Assumptions!Q56)</f>
        <v>1.08299072918176</v>
      </c>
      <c r="R10" s="61" t="n">
        <f aca="false">Q10*(1+Assumptions!R56)</f>
        <v>1.08840568282767</v>
      </c>
      <c r="S10" s="61" t="n">
        <f aca="false">R10*(1+Assumptions!S56)</f>
        <v>1.0938477112418</v>
      </c>
    </row>
    <row r="11" customFormat="false" ht="17.25" hidden="false" customHeight="true" outlineLevel="0" collapsed="false">
      <c r="A11" s="24" t="n">
        <f aca="false">MAX($A$2:A9)+0.01</f>
        <v>2.01</v>
      </c>
      <c r="B11" s="24" t="s">
        <v>135</v>
      </c>
      <c r="C11" s="24"/>
      <c r="D11" s="24"/>
      <c r="E11" s="24"/>
      <c r="F11" s="24"/>
      <c r="G11" s="24"/>
      <c r="H11" s="24"/>
      <c r="I11" s="24"/>
      <c r="J11" s="24"/>
      <c r="K11" s="24"/>
      <c r="L11" s="24"/>
      <c r="M11" s="24"/>
      <c r="N11" s="24"/>
      <c r="O11" s="24"/>
      <c r="P11" s="24"/>
      <c r="Q11" s="24"/>
      <c r="R11" s="24"/>
      <c r="S11" s="24"/>
    </row>
    <row r="12" customFormat="false" ht="15" hidden="false" customHeight="true" outlineLevel="0" collapsed="false"/>
    <row r="13" customFormat="false" ht="14.25" hidden="false" customHeight="true" outlineLevel="0" collapsed="false">
      <c r="B13" s="46" t="s">
        <v>136</v>
      </c>
      <c r="C13" s="36"/>
    </row>
    <row r="15" customFormat="false" ht="14.25" hidden="false" customHeight="true" outlineLevel="0" collapsed="false">
      <c r="B15" s="8" t="s">
        <v>137</v>
      </c>
      <c r="C15" s="29" t="s">
        <v>138</v>
      </c>
      <c r="D15" s="66" t="n">
        <f aca="false">Assumptions!$D$47*Assumptions!$D$48/1000</f>
        <v>125</v>
      </c>
      <c r="E15" s="66" t="n">
        <f aca="false">Assumptions!$D$47*Assumptions!$D$48/1000</f>
        <v>125</v>
      </c>
      <c r="F15" s="66" t="n">
        <f aca="false">Assumptions!$D$47*Assumptions!$D$48/1000</f>
        <v>125</v>
      </c>
      <c r="G15" s="66" t="n">
        <f aca="false">Assumptions!$D$47*Assumptions!$D$48/1000</f>
        <v>125</v>
      </c>
      <c r="H15" s="66" t="n">
        <f aca="false">Assumptions!$D$47*Assumptions!$D$48/1000</f>
        <v>125</v>
      </c>
      <c r="I15" s="66" t="n">
        <f aca="false">Assumptions!$D$47*Assumptions!$D$48/1000</f>
        <v>125</v>
      </c>
      <c r="J15" s="66" t="n">
        <f aca="false">Assumptions!$D$47*Assumptions!$D$48/1000</f>
        <v>125</v>
      </c>
      <c r="K15" s="66" t="n">
        <f aca="false">Assumptions!$D$47*Assumptions!$D$48/1000</f>
        <v>125</v>
      </c>
      <c r="L15" s="66" t="n">
        <f aca="false">Assumptions!$D$47*Assumptions!$D$48/1000</f>
        <v>125</v>
      </c>
      <c r="M15" s="66" t="n">
        <f aca="false">Assumptions!$D$47*Assumptions!$D$48/1000</f>
        <v>125</v>
      </c>
      <c r="N15" s="66" t="n">
        <f aca="false">Assumptions!$D$47*Assumptions!$D$48/1000</f>
        <v>125</v>
      </c>
      <c r="O15" s="66" t="n">
        <f aca="false">Assumptions!$D$47*Assumptions!$D$48/1000</f>
        <v>125</v>
      </c>
      <c r="P15" s="66" t="n">
        <f aca="false">Assumptions!$D$47*Assumptions!$D$48/1000</f>
        <v>125</v>
      </c>
      <c r="Q15" s="66" t="n">
        <f aca="false">Assumptions!$D$47*Assumptions!$D$48/1000</f>
        <v>125</v>
      </c>
      <c r="R15" s="66" t="n">
        <f aca="false">Assumptions!$D$47*Assumptions!$D$48/1000</f>
        <v>125</v>
      </c>
      <c r="S15" s="66" t="n">
        <f aca="false">Assumptions!$D$47*Assumptions!$D$48/1000</f>
        <v>125</v>
      </c>
    </row>
    <row r="16" customFormat="false" ht="14.25" hidden="false" customHeight="true" outlineLevel="0" collapsed="false">
      <c r="B16" s="8" t="s">
        <v>139</v>
      </c>
      <c r="C16" s="29" t="s">
        <v>138</v>
      </c>
      <c r="D16" s="66" t="n">
        <f aca="false">Assumptions!$D$47*Assumptions!$D$49/1000</f>
        <v>117.5</v>
      </c>
      <c r="E16" s="66" t="n">
        <f aca="false">Assumptions!$D$47*Assumptions!$D$49/1000</f>
        <v>117.5</v>
      </c>
      <c r="F16" s="66" t="n">
        <f aca="false">Assumptions!$D$47*Assumptions!$D$49/1000</f>
        <v>117.5</v>
      </c>
      <c r="G16" s="66" t="n">
        <f aca="false">Assumptions!$D$47*Assumptions!$D$49/1000</f>
        <v>117.5</v>
      </c>
      <c r="H16" s="66" t="n">
        <f aca="false">Assumptions!$D$47*Assumptions!$D$49/1000</f>
        <v>117.5</v>
      </c>
      <c r="I16" s="66" t="n">
        <f aca="false">Assumptions!$D$47*Assumptions!$D$49/1000</f>
        <v>117.5</v>
      </c>
      <c r="J16" s="66" t="n">
        <f aca="false">Assumptions!$D$47*Assumptions!$D$49/1000</f>
        <v>117.5</v>
      </c>
      <c r="K16" s="66" t="n">
        <f aca="false">Assumptions!$D$47*Assumptions!$D$49/1000</f>
        <v>117.5</v>
      </c>
      <c r="L16" s="66" t="n">
        <f aca="false">Assumptions!$D$47*Assumptions!$D$49/1000</f>
        <v>117.5</v>
      </c>
      <c r="M16" s="66" t="n">
        <f aca="false">Assumptions!$D$47*Assumptions!$D$49/1000</f>
        <v>117.5</v>
      </c>
      <c r="N16" s="66" t="n">
        <f aca="false">Assumptions!$D$47*Assumptions!$D$49/1000</f>
        <v>117.5</v>
      </c>
      <c r="O16" s="66" t="n">
        <f aca="false">Assumptions!$D$47*Assumptions!$D$49/1000</f>
        <v>117.5</v>
      </c>
      <c r="P16" s="66" t="n">
        <f aca="false">Assumptions!$D$47*Assumptions!$D$49/1000</f>
        <v>117.5</v>
      </c>
      <c r="Q16" s="66" t="n">
        <f aca="false">Assumptions!$D$47*Assumptions!$D$49/1000</f>
        <v>117.5</v>
      </c>
      <c r="R16" s="66" t="n">
        <f aca="false">Assumptions!$D$47*Assumptions!$D$49/1000</f>
        <v>117.5</v>
      </c>
      <c r="S16" s="66" t="n">
        <f aca="false">Assumptions!$D$47*Assumptions!$D$49/1000</f>
        <v>117.5</v>
      </c>
    </row>
    <row r="17" customFormat="false" ht="14.25" hidden="false" customHeight="true" outlineLevel="0" collapsed="false">
      <c r="B17" s="8" t="s">
        <v>140</v>
      </c>
      <c r="C17" s="29" t="s">
        <v>138</v>
      </c>
      <c r="D17" s="67" t="n">
        <f aca="false">IF(Assumptions!$D$50=1,D15,IF(Assumptions!$D$50=2,D16,IF(D$5&lt;=$D$5+10,D16,D15)))</f>
        <v>125</v>
      </c>
      <c r="E17" s="67" t="n">
        <f aca="false">IF(Assumptions!$D$50=1,E15,IF(Assumptions!$D$50=2,E16,IF(E$5&lt;=$D$5+10,E16,E15)))</f>
        <v>125</v>
      </c>
      <c r="F17" s="67" t="n">
        <f aca="false">IF(Assumptions!$D$50=1,F15,IF(Assumptions!$D$50=2,F16,IF(F$5&lt;=$D$5+10,F16,F15)))</f>
        <v>125</v>
      </c>
      <c r="G17" s="67" t="n">
        <f aca="false">IF(Assumptions!$D$50=1,G15,IF(Assumptions!$D$50=2,G16,IF(G$5&lt;=$D$5+10,G16,G15)))</f>
        <v>125</v>
      </c>
      <c r="H17" s="67" t="n">
        <f aca="false">IF(Assumptions!$D$50=1,H15,IF(Assumptions!$D$50=2,H16,IF(H$5&lt;=$D$5+10,H16,H15)))</f>
        <v>125</v>
      </c>
      <c r="I17" s="67" t="n">
        <f aca="false">IF(Assumptions!$D$50=1,I15,IF(Assumptions!$D$50=2,I16,IF(I$5&lt;=$D$5+10,I16,I15)))</f>
        <v>125</v>
      </c>
      <c r="J17" s="67" t="n">
        <f aca="false">IF(Assumptions!$D$50=1,J15,IF(Assumptions!$D$50=2,J16,IF(J$5&lt;=$D$5+10,J16,J15)))</f>
        <v>125</v>
      </c>
      <c r="K17" s="67" t="n">
        <f aca="false">IF(Assumptions!$D$50=1,K15,IF(Assumptions!$D$50=2,K16,IF(K$5&lt;=$D$5+10,K16,K15)))</f>
        <v>125</v>
      </c>
      <c r="L17" s="67" t="n">
        <f aca="false">IF(Assumptions!$D$50=1,L15,IF(Assumptions!$D$50=2,L16,IF(L$5&lt;=$D$5+10,L16,L15)))</f>
        <v>125</v>
      </c>
      <c r="M17" s="67" t="n">
        <f aca="false">IF(Assumptions!$D$50=1,M15,IF(Assumptions!$D$50=2,M16,IF(M$5&lt;=$D$5+10,M16,M15)))</f>
        <v>125</v>
      </c>
      <c r="N17" s="67" t="n">
        <f aca="false">IF(Assumptions!$D$50=1,N15,IF(Assumptions!$D$50=2,N16,IF(N$5&lt;=$D$5+10,N16,N15)))</f>
        <v>125</v>
      </c>
      <c r="O17" s="67" t="n">
        <f aca="false">IF(Assumptions!$D$50=1,O15,IF(Assumptions!$D$50=2,O16,IF(O$5&lt;=$D$5+10,O16,O15)))</f>
        <v>125</v>
      </c>
      <c r="P17" s="67" t="n">
        <f aca="false">IF(Assumptions!$D$50=1,P15,IF(Assumptions!$D$50=2,P16,IF(P$5&lt;=$D$5+10,P16,P15)))</f>
        <v>125</v>
      </c>
      <c r="Q17" s="67" t="n">
        <f aca="false">IF(Assumptions!$D$50=1,Q15,IF(Assumptions!$D$50=2,Q16,IF(Q$5&lt;=$D$5+10,Q16,Q15)))</f>
        <v>125</v>
      </c>
      <c r="R17" s="67" t="n">
        <f aca="false">IF(Assumptions!$D$50=1,R15,IF(Assumptions!$D$50=2,R16,IF(R$5&lt;=$D$5+10,R16,R15)))</f>
        <v>125</v>
      </c>
      <c r="S17" s="67" t="n">
        <f aca="false">IF(Assumptions!$D$50=1,S15,IF(Assumptions!$D$50=2,S16,IF(S$5&lt;=$D$5+10,S16,S15)))</f>
        <v>125</v>
      </c>
      <c r="T17" s="29"/>
      <c r="U17" s="29" t="s">
        <v>141</v>
      </c>
    </row>
    <row r="21" customFormat="false" ht="14.25" hidden="false" customHeight="true" outlineLevel="0" collapsed="false">
      <c r="B21" s="35" t="s">
        <v>142</v>
      </c>
      <c r="C21" s="36"/>
    </row>
    <row r="23" customFormat="false" ht="14.25" hidden="false" customHeight="true" outlineLevel="0" collapsed="false">
      <c r="B23" s="8" t="s">
        <v>143</v>
      </c>
      <c r="C23" s="29" t="s">
        <v>111</v>
      </c>
      <c r="D23" s="61" t="n">
        <f aca="false">D24/$D$24</f>
        <v>1</v>
      </c>
      <c r="E23" s="61" t="n">
        <f aca="false">E24/$D$24</f>
        <v>1.0025</v>
      </c>
      <c r="F23" s="61" t="n">
        <f aca="false">F24/$D$24</f>
        <v>1.00500625</v>
      </c>
      <c r="G23" s="61" t="n">
        <f aca="false">G24/$D$24</f>
        <v>1.007518765625</v>
      </c>
      <c r="H23" s="61" t="n">
        <f aca="false">H24/$D$24</f>
        <v>1.01255635945312</v>
      </c>
      <c r="I23" s="61" t="n">
        <f aca="false">I24/$D$24</f>
        <v>1.01761914125039</v>
      </c>
      <c r="J23" s="61" t="n">
        <f aca="false">J24/$D$24</f>
        <v>1.02270723695664</v>
      </c>
      <c r="K23" s="61" t="n">
        <f aca="false">K24/$D$24</f>
        <v>1.02782077314143</v>
      </c>
      <c r="L23" s="61" t="n">
        <f aca="false">L24/$D$24</f>
        <v>1.03295987700713</v>
      </c>
      <c r="M23" s="61" t="n">
        <f aca="false">M24/$D$24</f>
        <v>1.03812467639217</v>
      </c>
      <c r="N23" s="61" t="n">
        <f aca="false">N24/$D$24</f>
        <v>1.04331529977413</v>
      </c>
      <c r="O23" s="61" t="n">
        <f aca="false">O24/$D$24</f>
        <v>1.048531876273</v>
      </c>
      <c r="P23" s="61" t="n">
        <f aca="false">P24/$D$24</f>
        <v>1.05377453565436</v>
      </c>
      <c r="Q23" s="61" t="n">
        <f aca="false">Q24/$D$24</f>
        <v>1.05904340833264</v>
      </c>
      <c r="R23" s="61" t="n">
        <f aca="false">R24/$D$24</f>
        <v>1.0643386253743</v>
      </c>
      <c r="S23" s="61" t="n">
        <f aca="false">S24/$D$24</f>
        <v>1.06966031850117</v>
      </c>
    </row>
    <row r="24" customFormat="false" ht="14.25" hidden="false" customHeight="true" outlineLevel="0" collapsed="false">
      <c r="B24" s="8" t="s">
        <v>144</v>
      </c>
      <c r="C24" s="29" t="s">
        <v>60</v>
      </c>
      <c r="D24" s="68" t="n">
        <f aca="false">Assumptions!D22</f>
        <v>320</v>
      </c>
      <c r="E24" s="68" t="n">
        <f aca="false">Assumptions!E22</f>
        <v>320.8</v>
      </c>
      <c r="F24" s="68" t="n">
        <f aca="false">Assumptions!F22</f>
        <v>321.602</v>
      </c>
      <c r="G24" s="68" t="n">
        <f aca="false">Assumptions!G22</f>
        <v>322.406005</v>
      </c>
      <c r="H24" s="68" t="n">
        <f aca="false">Assumptions!H22</f>
        <v>324.018035025</v>
      </c>
      <c r="I24" s="68" t="n">
        <f aca="false">Assumptions!I22</f>
        <v>325.638125200125</v>
      </c>
      <c r="J24" s="68" t="n">
        <f aca="false">Assumptions!J22</f>
        <v>327.266315826125</v>
      </c>
      <c r="K24" s="68" t="n">
        <f aca="false">Assumptions!K22</f>
        <v>328.902647405256</v>
      </c>
      <c r="L24" s="68" t="n">
        <f aca="false">Assumptions!L22</f>
        <v>330.547160642282</v>
      </c>
      <c r="M24" s="68" t="n">
        <f aca="false">Assumptions!M22</f>
        <v>332.199896445494</v>
      </c>
      <c r="N24" s="68" t="n">
        <f aca="false">Assumptions!N22</f>
        <v>333.860895927721</v>
      </c>
      <c r="O24" s="68" t="n">
        <f aca="false">Assumptions!O22</f>
        <v>335.53020040736</v>
      </c>
      <c r="P24" s="68" t="n">
        <f aca="false">Assumptions!P22</f>
        <v>337.207851409396</v>
      </c>
      <c r="Q24" s="68" t="n">
        <f aca="false">Assumptions!Q22</f>
        <v>338.893890666443</v>
      </c>
      <c r="R24" s="68" t="n">
        <f aca="false">Assumptions!R22</f>
        <v>340.588360119776</v>
      </c>
      <c r="S24" s="68" t="n">
        <f aca="false">Assumptions!S22</f>
        <v>342.291301920374</v>
      </c>
    </row>
    <row r="26" customFormat="false" ht="14.25" hidden="false" customHeight="true" outlineLevel="0" collapsed="false">
      <c r="B26" s="14" t="s">
        <v>145</v>
      </c>
      <c r="C26" s="29" t="s">
        <v>60</v>
      </c>
    </row>
    <row r="27" customFormat="false" ht="14.25" hidden="false" customHeight="true" outlineLevel="0" collapsed="false">
      <c r="B27" s="8" t="s">
        <v>146</v>
      </c>
      <c r="C27" s="29" t="s">
        <v>60</v>
      </c>
      <c r="D27" s="66" t="n">
        <f aca="false">Assumptions!D27*Assumptions!D32*Assumptions!$D$10/1000</f>
        <v>107.31</v>
      </c>
      <c r="E27" s="66" t="n">
        <f aca="false">Assumptions!E27*Assumptions!E32*Assumptions!$D$10/1000</f>
        <v>106.247524752475</v>
      </c>
      <c r="F27" s="66" t="n">
        <f aca="false">Assumptions!F27*Assumptions!F32*Assumptions!$D$10/1000</f>
        <v>105.195569061857</v>
      </c>
      <c r="G27" s="66" t="n">
        <f aca="false">Assumptions!G27*Assumptions!G32*Assumptions!$D$10/1000</f>
        <v>96.7144552902503</v>
      </c>
      <c r="H27" s="66" t="n">
        <f aca="false">Assumptions!H27*Assumptions!H32*Assumptions!$D$10/1000</f>
        <v>88.3909720855295</v>
      </c>
      <c r="I27" s="66" t="n">
        <f aca="false">Assumptions!I27*Assumptions!I32*Assumptions!$D$10/1000</f>
        <v>80.222829450563</v>
      </c>
      <c r="J27" s="66" t="n">
        <f aca="false">Assumptions!J27*Assumptions!J32*Assumptions!$D$10/1000</f>
        <v>72.2077672822349</v>
      </c>
      <c r="K27" s="66" t="n">
        <f aca="false">Assumptions!K27*Assumptions!K32*Assumptions!$D$10/1000</f>
        <v>59.13</v>
      </c>
      <c r="L27" s="66" t="n">
        <f aca="false">Assumptions!L27*Assumptions!L32*Assumptions!$D$10/1000</f>
        <v>52.56</v>
      </c>
      <c r="M27" s="66" t="n">
        <f aca="false">Assumptions!M27*Assumptions!M32*Assumptions!$D$10/1000</f>
        <v>52.56</v>
      </c>
      <c r="N27" s="66" t="n">
        <f aca="false">Assumptions!N27*Assumptions!N32*Assumptions!$D$10/1000</f>
        <v>52.56</v>
      </c>
      <c r="O27" s="66" t="n">
        <f aca="false">Assumptions!O27*Assumptions!O32*Assumptions!$D$10/1000</f>
        <v>52.56</v>
      </c>
      <c r="P27" s="66" t="n">
        <f aca="false">Assumptions!P27*Assumptions!P32*Assumptions!$D$10/1000</f>
        <v>39.42</v>
      </c>
      <c r="Q27" s="66" t="n">
        <f aca="false">Assumptions!Q27*Assumptions!Q32*Assumptions!$D$10/1000</f>
        <v>39.42</v>
      </c>
      <c r="R27" s="66" t="n">
        <f aca="false">Assumptions!R27*Assumptions!R32*Assumptions!$D$10/1000</f>
        <v>26.28</v>
      </c>
      <c r="S27" s="66" t="n">
        <f aca="false">Assumptions!S27*Assumptions!S32*Assumptions!$D$10/1000</f>
        <v>0</v>
      </c>
    </row>
    <row r="28" customFormat="false" ht="14.25" hidden="false" customHeight="true" outlineLevel="0" collapsed="false">
      <c r="B28" s="8" t="s">
        <v>147</v>
      </c>
      <c r="C28" s="29" t="s">
        <v>60</v>
      </c>
      <c r="D28" s="66" t="n">
        <f aca="false">Assumptions!D28*Assumptions!D33*Assumptions!$D$10/1000</f>
        <v>240.9</v>
      </c>
      <c r="E28" s="66" t="n">
        <f aca="false">Assumptions!E28*Assumptions!E33*Assumptions!$D$10/1000</f>
        <v>243.309</v>
      </c>
      <c r="F28" s="66" t="n">
        <f aca="false">Assumptions!F28*Assumptions!F33*Assumptions!$D$10/1000</f>
        <v>245.74209</v>
      </c>
      <c r="G28" s="66" t="n">
        <f aca="false">Assumptions!G28*Assumptions!G33*Assumptions!$D$10/1000</f>
        <v>248.1995109</v>
      </c>
      <c r="H28" s="66" t="n">
        <f aca="false">Assumptions!H28*Assumptions!H33*Assumptions!$D$10/1000</f>
        <v>250.681506009</v>
      </c>
      <c r="I28" s="66" t="n">
        <f aca="false">Assumptions!I28*Assumptions!I33*Assumptions!$D$10/1000</f>
        <v>253.18832106909</v>
      </c>
      <c r="J28" s="66" t="n">
        <f aca="false">Assumptions!J28*Assumptions!J33*Assumptions!$D$10/1000</f>
        <v>255.720204279781</v>
      </c>
      <c r="K28" s="66" t="n">
        <f aca="false">Assumptions!K28*Assumptions!K33*Assumptions!$D$10/1000</f>
        <v>258.277406322579</v>
      </c>
      <c r="L28" s="66" t="n">
        <f aca="false">Assumptions!L28*Assumptions!L33*Assumptions!$D$10/1000</f>
        <v>270.346005127106</v>
      </c>
      <c r="M28" s="66" t="n">
        <f aca="false">Assumptions!M28*Assumptions!M33*Assumptions!$D$10/1000</f>
        <v>282.630148167092</v>
      </c>
      <c r="N28" s="66" t="n">
        <f aca="false">Assumptions!N28*Assumptions!N33*Assumptions!$D$10/1000</f>
        <v>295.132939467366</v>
      </c>
      <c r="O28" s="66" t="n">
        <f aca="false">Assumptions!O28*Assumptions!O33*Assumptions!$D$10/1000</f>
        <v>298.084268862039</v>
      </c>
      <c r="P28" s="66" t="n">
        <f aca="false">Assumptions!P28*Assumptions!P33*Assumptions!$D$10/1000</f>
        <v>301.06511155066</v>
      </c>
      <c r="Q28" s="66" t="n">
        <f aca="false">Assumptions!Q28*Assumptions!Q33*Assumptions!$D$10/1000</f>
        <v>304.075762666166</v>
      </c>
      <c r="R28" s="66" t="n">
        <f aca="false">Assumptions!R28*Assumptions!R33*Assumptions!$D$10/1000</f>
        <v>307.116520292828</v>
      </c>
      <c r="S28" s="66" t="n">
        <f aca="false">Assumptions!S28*Assumptions!S33*Assumptions!$D$10/1000</f>
        <v>310.187685495756</v>
      </c>
    </row>
    <row r="29" customFormat="false" ht="14.25" hidden="false" customHeight="true" outlineLevel="0" collapsed="false">
      <c r="B29" s="8" t="s">
        <v>148</v>
      </c>
      <c r="C29" s="29" t="s">
        <v>60</v>
      </c>
      <c r="D29" s="66" t="n">
        <f aca="false">Assumptions!D29*Assumptions!D34*Assumptions!$D$10/1000</f>
        <v>26.28</v>
      </c>
      <c r="E29" s="66" t="n">
        <f aca="false">Assumptions!E29*Assumptions!E34*Assumptions!$D$10/1000</f>
        <v>27.474426</v>
      </c>
      <c r="F29" s="66" t="n">
        <f aca="false">Assumptions!F29*Assumptions!F34*Assumptions!$D$10/1000</f>
        <v>28.7231386617</v>
      </c>
      <c r="G29" s="66" t="n">
        <f aca="false">Assumptions!G29*Assumptions!G34*Assumptions!$D$10/1000</f>
        <v>30.0286053138743</v>
      </c>
      <c r="H29" s="66" t="n">
        <f aca="false">Assumptions!H29*Assumptions!H34*Assumptions!$D$10/1000</f>
        <v>31.3934054253898</v>
      </c>
      <c r="I29" s="66" t="n">
        <f aca="false">Assumptions!I29*Assumptions!I34*Assumptions!$D$10/1000</f>
        <v>32.8202357019738</v>
      </c>
      <c r="J29" s="66" t="n">
        <f aca="false">Assumptions!J29*Assumptions!J34*Assumptions!$D$10/1000</f>
        <v>34.3119154146285</v>
      </c>
      <c r="K29" s="66" t="n">
        <f aca="false">Assumptions!K29*Assumptions!K34*Assumptions!$D$10/1000</f>
        <v>35.8713919702235</v>
      </c>
      <c r="L29" s="66" t="n">
        <f aca="false">Assumptions!L29*Assumptions!L34*Assumptions!$D$10/1000</f>
        <v>37.5017467352701</v>
      </c>
      <c r="M29" s="66" t="n">
        <f aca="false">Assumptions!M29*Assumptions!M34*Assumptions!$D$10/1000</f>
        <v>39.2062011243881</v>
      </c>
      <c r="N29" s="66" t="n">
        <f aca="false">Assumptions!N29*Assumptions!N34*Assumptions!$D$10/1000</f>
        <v>40.9881229654914</v>
      </c>
      <c r="O29" s="66" t="n">
        <f aca="false">Assumptions!O29*Assumptions!O34*Assumptions!$D$10/1000</f>
        <v>42.8510331542731</v>
      </c>
      <c r="P29" s="66" t="n">
        <f aca="false">Assumptions!P29*Assumptions!P34*Assumptions!$D$10/1000</f>
        <v>44.7986126111348</v>
      </c>
      <c r="Q29" s="66" t="n">
        <f aca="false">Assumptions!Q29*Assumptions!Q34*Assumptions!$D$10/1000</f>
        <v>46.8347095543109</v>
      </c>
      <c r="R29" s="66" t="n">
        <f aca="false">Assumptions!R29*Assumptions!R34*Assumptions!$D$10/1000</f>
        <v>48.9633471035543</v>
      </c>
      <c r="S29" s="66" t="n">
        <f aca="false">Assumptions!S29*Assumptions!S34*Assumptions!$D$10/1000</f>
        <v>51.1887312294109</v>
      </c>
    </row>
    <row r="30" customFormat="false" ht="14.25" hidden="false" customHeight="true" outlineLevel="0" collapsed="false">
      <c r="B30" s="8" t="s">
        <v>149</v>
      </c>
      <c r="C30" s="29" t="s">
        <v>60</v>
      </c>
      <c r="D30" s="69" t="n">
        <f aca="false">SUM(D27:D29)</f>
        <v>374.49</v>
      </c>
      <c r="E30" s="69" t="n">
        <f aca="false">SUM(E27:E29)</f>
        <v>377.030950752475</v>
      </c>
      <c r="F30" s="69" t="n">
        <f aca="false">SUM(F27:F29)</f>
        <v>379.660797723557</v>
      </c>
      <c r="G30" s="69" t="n">
        <f aca="false">SUM(G27:G29)</f>
        <v>374.942571504125</v>
      </c>
      <c r="H30" s="69" t="n">
        <f aca="false">SUM(H27:H29)</f>
        <v>370.465883519919</v>
      </c>
      <c r="I30" s="69" t="n">
        <f aca="false">SUM(I27:I29)</f>
        <v>366.231386221627</v>
      </c>
      <c r="J30" s="69" t="n">
        <f aca="false">SUM(J27:J29)</f>
        <v>362.239886976644</v>
      </c>
      <c r="K30" s="69" t="n">
        <f aca="false">SUM(K27:K29)</f>
        <v>353.278798292802</v>
      </c>
      <c r="L30" s="69" t="n">
        <f aca="false">SUM(L27:L29)</f>
        <v>360.407751862377</v>
      </c>
      <c r="M30" s="69" t="n">
        <f aca="false">SUM(M27:M29)</f>
        <v>374.39634929148</v>
      </c>
      <c r="N30" s="69" t="n">
        <f aca="false">SUM(N27:N29)</f>
        <v>388.681062432857</v>
      </c>
      <c r="O30" s="69" t="n">
        <f aca="false">SUM(O27:O29)</f>
        <v>393.495302016312</v>
      </c>
      <c r="P30" s="69" t="n">
        <f aca="false">SUM(P27:P29)</f>
        <v>385.283724161795</v>
      </c>
      <c r="Q30" s="69" t="n">
        <f aca="false">SUM(Q27:Q29)</f>
        <v>390.330472220477</v>
      </c>
      <c r="R30" s="69" t="n">
        <f aca="false">SUM(R27:R29)</f>
        <v>382.359867396382</v>
      </c>
      <c r="S30" s="69" t="n">
        <f aca="false">SUM(S27:S29)</f>
        <v>361.376416725167</v>
      </c>
    </row>
    <row r="31" customFormat="false" ht="14.25" hidden="false" customHeight="true" outlineLevel="0" collapsed="false">
      <c r="B31" s="8" t="s">
        <v>150</v>
      </c>
      <c r="C31" s="29" t="s">
        <v>60</v>
      </c>
      <c r="D31" s="66" t="n">
        <f aca="false">D30-D24</f>
        <v>54.49</v>
      </c>
      <c r="E31" s="66" t="n">
        <f aca="false">E30-E24</f>
        <v>56.2309507524755</v>
      </c>
      <c r="F31" s="66" t="n">
        <f aca="false">F30-F24</f>
        <v>58.0587977235567</v>
      </c>
      <c r="G31" s="66" t="n">
        <f aca="false">G30-G24</f>
        <v>52.5365665041247</v>
      </c>
      <c r="H31" s="66" t="n">
        <f aca="false">H30-H24</f>
        <v>46.4478484949195</v>
      </c>
      <c r="I31" s="66" t="n">
        <f aca="false">I30-I24</f>
        <v>40.593261021502</v>
      </c>
      <c r="J31" s="66" t="n">
        <f aca="false">J30-J24</f>
        <v>34.9735711505188</v>
      </c>
      <c r="K31" s="66" t="n">
        <f aca="false">K30-K24</f>
        <v>24.3761508875462</v>
      </c>
      <c r="L31" s="66" t="n">
        <f aca="false">L30-L24</f>
        <v>29.8605912200944</v>
      </c>
      <c r="M31" s="66" t="n">
        <f aca="false">M30-M24</f>
        <v>42.1964528459868</v>
      </c>
      <c r="N31" s="66" t="n">
        <f aca="false">N30-N24</f>
        <v>54.8201665051359</v>
      </c>
      <c r="O31" s="66" t="n">
        <f aca="false">O30-O24</f>
        <v>57.9651016089525</v>
      </c>
      <c r="P31" s="66" t="n">
        <f aca="false">P30-P24</f>
        <v>48.0758727523981</v>
      </c>
      <c r="Q31" s="66" t="n">
        <f aca="false">Q30-Q24</f>
        <v>51.4365815540339</v>
      </c>
      <c r="R31" s="66" t="n">
        <f aca="false">R30-R24</f>
        <v>41.7715072766066</v>
      </c>
      <c r="S31" s="66" t="n">
        <f aca="false">S30-S24</f>
        <v>19.0851148047925</v>
      </c>
    </row>
    <row r="33" customFormat="false" ht="14.25" hidden="false" customHeight="true" outlineLevel="0" collapsed="false">
      <c r="B33" s="14" t="s">
        <v>151</v>
      </c>
      <c r="C33" s="29" t="s">
        <v>89</v>
      </c>
    </row>
    <row r="34" customFormat="false" ht="14.25" hidden="false" customHeight="true" outlineLevel="0" collapsed="false">
      <c r="B34" s="8" t="s">
        <v>146</v>
      </c>
      <c r="C34" s="29" t="s">
        <v>89</v>
      </c>
      <c r="D34" s="70" t="n">
        <f aca="false">Assumptions!D37</f>
        <v>35</v>
      </c>
      <c r="E34" s="70" t="n">
        <f aca="false">Assumptions!E37</f>
        <v>35.35</v>
      </c>
      <c r="F34" s="70" t="n">
        <f aca="false">Assumptions!F37</f>
        <v>36.057</v>
      </c>
      <c r="G34" s="70" t="n">
        <f aca="false">Assumptions!G37</f>
        <v>37.13871</v>
      </c>
      <c r="H34" s="70" t="n">
        <f aca="false">Assumptions!H37</f>
        <v>38.6242584</v>
      </c>
      <c r="I34" s="70" t="n">
        <f aca="false">Assumptions!I37</f>
        <v>40.55547132</v>
      </c>
      <c r="J34" s="70" t="n">
        <f aca="false">Assumptions!J37</f>
        <v>42.9887995992</v>
      </c>
      <c r="K34" s="70" t="n">
        <f aca="false">Assumptions!K37</f>
        <v>45.998015571144</v>
      </c>
      <c r="L34" s="70" t="n">
        <f aca="false">Assumptions!L37</f>
        <v>49.6778568168355</v>
      </c>
      <c r="M34" s="70" t="n">
        <f aca="false">Assumptions!M37</f>
        <v>50.6714139531723</v>
      </c>
      <c r="N34" s="70" t="n">
        <f aca="false">Assumptions!N37</f>
        <v>51.6848422322357</v>
      </c>
      <c r="O34" s="70" t="n">
        <f aca="false">Assumptions!O37</f>
        <v>52.7185390768804</v>
      </c>
      <c r="P34" s="70" t="n">
        <f aca="false">Assumptions!P37</f>
        <v>53.772909858418</v>
      </c>
      <c r="Q34" s="70" t="n">
        <f aca="false">Assumptions!Q37</f>
        <v>54.8483680555864</v>
      </c>
      <c r="R34" s="70" t="n">
        <f aca="false">Assumptions!R37</f>
        <v>55.9453354166981</v>
      </c>
      <c r="S34" s="70" t="n">
        <f aca="false">Assumptions!S37</f>
        <v>57.0642421250321</v>
      </c>
    </row>
    <row r="35" customFormat="false" ht="14.25" hidden="false" customHeight="true" outlineLevel="0" collapsed="false">
      <c r="B35" s="8" t="s">
        <v>147</v>
      </c>
      <c r="C35" s="29" t="s">
        <v>89</v>
      </c>
      <c r="D35" s="70" t="n">
        <f aca="false">Assumptions!D38</f>
        <v>55</v>
      </c>
      <c r="E35" s="70" t="n">
        <f aca="false">Assumptions!E38</f>
        <v>54.726368159204</v>
      </c>
      <c r="F35" s="70" t="n">
        <f aca="false">Assumptions!F38</f>
        <v>54.1845229299049</v>
      </c>
      <c r="G35" s="70" t="n">
        <f aca="false">Assumptions!G38</f>
        <v>53.3837664334039</v>
      </c>
      <c r="H35" s="70" t="n">
        <f aca="false">Assumptions!H38</f>
        <v>52.3370259151019</v>
      </c>
      <c r="I35" s="70" t="n">
        <f aca="false">Assumptions!I38</f>
        <v>51.0605130879043</v>
      </c>
      <c r="J35" s="70" t="n">
        <f aca="false">Assumptions!J38</f>
        <v>49.5733136775769</v>
      </c>
      <c r="K35" s="70" t="n">
        <f aca="false">Assumptions!K38</f>
        <v>47.8969214276106</v>
      </c>
      <c r="L35" s="70" t="n">
        <f aca="false">Assumptions!L38</f>
        <v>46.0547321419332</v>
      </c>
      <c r="M35" s="70" t="n">
        <f aca="false">Assumptions!M38</f>
        <v>44.0715140114194</v>
      </c>
      <c r="N35" s="70" t="n">
        <f aca="false">Assumptions!N38</f>
        <v>41.9728704870661</v>
      </c>
      <c r="O35" s="70" t="n">
        <f aca="false">Assumptions!O38</f>
        <v>39.7847113621479</v>
      </c>
      <c r="P35" s="70" t="n">
        <f aca="false">Assumptions!P38</f>
        <v>37.5327465680641</v>
      </c>
      <c r="Q35" s="70" t="n">
        <f aca="false">Assumptions!Q38</f>
        <v>35.2420155568677</v>
      </c>
      <c r="R35" s="70" t="n">
        <f aca="false">Assumptions!R38</f>
        <v>32.9364631372595</v>
      </c>
      <c r="S35" s="70" t="n">
        <f aca="false">Assumptions!S38</f>
        <v>30.6385703602414</v>
      </c>
    </row>
    <row r="36" customFormat="false" ht="14.25" hidden="false" customHeight="true" outlineLevel="0" collapsed="false">
      <c r="B36" s="8" t="s">
        <v>148</v>
      </c>
      <c r="C36" s="29" t="s">
        <v>89</v>
      </c>
      <c r="D36" s="70" t="n">
        <f aca="false">Assumptions!D39</f>
        <v>5</v>
      </c>
      <c r="E36" s="70" t="n">
        <f aca="false">Assumptions!E39</f>
        <v>5</v>
      </c>
      <c r="F36" s="70" t="n">
        <f aca="false">Assumptions!F39</f>
        <v>5</v>
      </c>
      <c r="G36" s="70" t="n">
        <f aca="false">Assumptions!G39</f>
        <v>5</v>
      </c>
      <c r="H36" s="70" t="n">
        <f aca="false">Assumptions!H39</f>
        <v>5</v>
      </c>
      <c r="I36" s="70" t="n">
        <f aca="false">Assumptions!I39</f>
        <v>5</v>
      </c>
      <c r="J36" s="70" t="n">
        <f aca="false">Assumptions!J39</f>
        <v>5</v>
      </c>
      <c r="K36" s="70" t="n">
        <f aca="false">Assumptions!K39</f>
        <v>5</v>
      </c>
      <c r="L36" s="70" t="n">
        <f aca="false">Assumptions!L39</f>
        <v>5</v>
      </c>
      <c r="M36" s="70" t="n">
        <f aca="false">Assumptions!M39</f>
        <v>5</v>
      </c>
      <c r="N36" s="70" t="n">
        <f aca="false">Assumptions!N39</f>
        <v>5</v>
      </c>
      <c r="O36" s="70" t="n">
        <f aca="false">Assumptions!O39</f>
        <v>5</v>
      </c>
      <c r="P36" s="70" t="n">
        <f aca="false">Assumptions!P39</f>
        <v>5</v>
      </c>
      <c r="Q36" s="70" t="n">
        <f aca="false">Assumptions!Q39</f>
        <v>5</v>
      </c>
      <c r="R36" s="70" t="n">
        <f aca="false">Assumptions!R39</f>
        <v>5</v>
      </c>
      <c r="S36" s="70" t="n">
        <f aca="false">Assumptions!S39</f>
        <v>5</v>
      </c>
    </row>
    <row r="38" customFormat="false" ht="14.25" hidden="false" customHeight="true" outlineLevel="0" collapsed="false">
      <c r="B38" s="14" t="s">
        <v>152</v>
      </c>
      <c r="C38" s="29" t="s">
        <v>60</v>
      </c>
    </row>
    <row r="39" customFormat="false" ht="14.25" hidden="false" customHeight="true" outlineLevel="0" collapsed="false">
      <c r="B39" s="8" t="s">
        <v>146</v>
      </c>
      <c r="C39" s="29" t="s">
        <v>60</v>
      </c>
      <c r="D39" s="66" t="n">
        <f aca="false">SUMPRODUCT((D$34:D$36&lt;D34)*D$27:D$29)</f>
        <v>26.28</v>
      </c>
      <c r="E39" s="66" t="n">
        <f aca="false">SUMPRODUCT((E$34:E$36&lt;E34)*E$27:E$29)</f>
        <v>27.474426</v>
      </c>
      <c r="F39" s="66" t="n">
        <f aca="false">SUMPRODUCT((F$34:F$36&lt;F34)*F$27:F$29)</f>
        <v>28.7231386617</v>
      </c>
      <c r="G39" s="66" t="n">
        <f aca="false">SUMPRODUCT((G$34:G$36&lt;G34)*G$27:G$29)</f>
        <v>30.0286053138743</v>
      </c>
      <c r="H39" s="66" t="n">
        <f aca="false">SUMPRODUCT((H$34:H$36&lt;H34)*H$27:H$29)</f>
        <v>31.3934054253898</v>
      </c>
      <c r="I39" s="66" t="n">
        <f aca="false">SUMPRODUCT((I$34:I$36&lt;I34)*I$27:I$29)</f>
        <v>32.8202357019738</v>
      </c>
      <c r="J39" s="66" t="n">
        <f aca="false">SUMPRODUCT((J$34:J$36&lt;J34)*J$27:J$29)</f>
        <v>34.3119154146285</v>
      </c>
      <c r="K39" s="66" t="n">
        <f aca="false">SUMPRODUCT((K$34:K$36&lt;K34)*K$27:K$29)</f>
        <v>35.8713919702235</v>
      </c>
      <c r="L39" s="66" t="n">
        <f aca="false">SUMPRODUCT((L$34:L$36&lt;L34)*L$27:L$29)</f>
        <v>307.847751862377</v>
      </c>
      <c r="M39" s="66" t="n">
        <f aca="false">SUMPRODUCT((M$34:M$36&lt;M34)*M$27:M$29)</f>
        <v>321.83634929148</v>
      </c>
      <c r="N39" s="66" t="n">
        <f aca="false">SUMPRODUCT((N$34:N$36&lt;N34)*N$27:N$29)</f>
        <v>336.121062432857</v>
      </c>
      <c r="O39" s="66" t="n">
        <f aca="false">SUMPRODUCT((O$34:O$36&lt;O34)*O$27:O$29)</f>
        <v>340.935302016312</v>
      </c>
      <c r="P39" s="66" t="n">
        <f aca="false">SUMPRODUCT((P$34:P$36&lt;P34)*P$27:P$29)</f>
        <v>345.863724161795</v>
      </c>
      <c r="Q39" s="66" t="n">
        <f aca="false">SUMPRODUCT((Q$34:Q$36&lt;Q34)*Q$27:Q$29)</f>
        <v>350.910472220477</v>
      </c>
      <c r="R39" s="66" t="n">
        <f aca="false">SUMPRODUCT((R$34:R$36&lt;R34)*R$27:R$29)</f>
        <v>356.079867396382</v>
      </c>
      <c r="S39" s="66" t="n">
        <f aca="false">SUMPRODUCT((S$34:S$36&lt;S34)*S$27:S$29)</f>
        <v>361.376416725167</v>
      </c>
    </row>
    <row r="40" customFormat="false" ht="14.25" hidden="false" customHeight="true" outlineLevel="0" collapsed="false">
      <c r="B40" s="8" t="s">
        <v>147</v>
      </c>
      <c r="C40" s="29" t="s">
        <v>60</v>
      </c>
      <c r="D40" s="66" t="n">
        <f aca="false">SUMPRODUCT((D$34:D$36&lt;D35)*D$27:D$29)</f>
        <v>133.59</v>
      </c>
      <c r="E40" s="66" t="n">
        <f aca="false">SUMPRODUCT((E$34:E$36&lt;E35)*E$27:E$29)</f>
        <v>133.721950752475</v>
      </c>
      <c r="F40" s="66" t="n">
        <f aca="false">SUMPRODUCT((F$34:F$36&lt;F35)*F$27:F$29)</f>
        <v>133.918707723557</v>
      </c>
      <c r="G40" s="66" t="n">
        <f aca="false">SUMPRODUCT((G$34:G$36&lt;G35)*G$27:G$29)</f>
        <v>126.743060604125</v>
      </c>
      <c r="H40" s="66" t="n">
        <f aca="false">SUMPRODUCT((H$34:H$36&lt;H35)*H$27:H$29)</f>
        <v>119.784377510919</v>
      </c>
      <c r="I40" s="66" t="n">
        <f aca="false">SUMPRODUCT((I$34:I$36&lt;I35)*I$27:I$29)</f>
        <v>113.043065152537</v>
      </c>
      <c r="J40" s="66" t="n">
        <f aca="false">SUMPRODUCT((J$34:J$36&lt;J35)*J$27:J$29)</f>
        <v>106.519682696863</v>
      </c>
      <c r="K40" s="66" t="n">
        <f aca="false">SUMPRODUCT((K$34:K$36&lt;K35)*K$27:K$29)</f>
        <v>95.0013919702235</v>
      </c>
      <c r="L40" s="66" t="n">
        <f aca="false">SUMPRODUCT((L$34:L$36&lt;L35)*L$27:L$29)</f>
        <v>37.5017467352701</v>
      </c>
      <c r="M40" s="66" t="n">
        <f aca="false">SUMPRODUCT((M$34:M$36&lt;M35)*M$27:M$29)</f>
        <v>39.2062011243881</v>
      </c>
      <c r="N40" s="66" t="n">
        <f aca="false">SUMPRODUCT((N$34:N$36&lt;N35)*N$27:N$29)</f>
        <v>40.9881229654914</v>
      </c>
      <c r="O40" s="66" t="n">
        <f aca="false">SUMPRODUCT((O$34:O$36&lt;O35)*O$27:O$29)</f>
        <v>42.8510331542731</v>
      </c>
      <c r="P40" s="66" t="n">
        <f aca="false">SUMPRODUCT((P$34:P$36&lt;P35)*P$27:P$29)</f>
        <v>44.7986126111348</v>
      </c>
      <c r="Q40" s="66" t="n">
        <f aca="false">SUMPRODUCT((Q$34:Q$36&lt;Q35)*Q$27:Q$29)</f>
        <v>46.8347095543109</v>
      </c>
      <c r="R40" s="66" t="n">
        <f aca="false">SUMPRODUCT((R$34:R$36&lt;R35)*R$27:R$29)</f>
        <v>48.9633471035543</v>
      </c>
      <c r="S40" s="66" t="n">
        <f aca="false">SUMPRODUCT((S$34:S$36&lt;S35)*S$27:S$29)</f>
        <v>51.1887312294109</v>
      </c>
    </row>
    <row r="41" customFormat="false" ht="14.25" hidden="false" customHeight="true" outlineLevel="0" collapsed="false">
      <c r="B41" s="8" t="s">
        <v>148</v>
      </c>
      <c r="C41" s="29" t="s">
        <v>60</v>
      </c>
      <c r="D41" s="66" t="n">
        <f aca="false">SUMPRODUCT((D$34:D$36&lt;D36)*D$27:D$29)</f>
        <v>0</v>
      </c>
      <c r="E41" s="66" t="n">
        <f aca="false">SUMPRODUCT((E$34:E$36&lt;E36)*E$27:E$29)</f>
        <v>0</v>
      </c>
      <c r="F41" s="66" t="n">
        <f aca="false">SUMPRODUCT((F$34:F$36&lt;F36)*F$27:F$29)</f>
        <v>0</v>
      </c>
      <c r="G41" s="66" t="n">
        <f aca="false">SUMPRODUCT((G$34:G$36&lt;G36)*G$27:G$29)</f>
        <v>0</v>
      </c>
      <c r="H41" s="66" t="n">
        <f aca="false">SUMPRODUCT((H$34:H$36&lt;H36)*H$27:H$29)</f>
        <v>0</v>
      </c>
      <c r="I41" s="66" t="n">
        <f aca="false">SUMPRODUCT((I$34:I$36&lt;I36)*I$27:I$29)</f>
        <v>0</v>
      </c>
      <c r="J41" s="66" t="n">
        <f aca="false">SUMPRODUCT((J$34:J$36&lt;J36)*J$27:J$29)</f>
        <v>0</v>
      </c>
      <c r="K41" s="66" t="n">
        <f aca="false">SUMPRODUCT((K$34:K$36&lt;K36)*K$27:K$29)</f>
        <v>0</v>
      </c>
      <c r="L41" s="66" t="n">
        <f aca="false">SUMPRODUCT((L$34:L$36&lt;L36)*L$27:L$29)</f>
        <v>0</v>
      </c>
      <c r="M41" s="66" t="n">
        <f aca="false">SUMPRODUCT((M$34:M$36&lt;M36)*M$27:M$29)</f>
        <v>0</v>
      </c>
      <c r="N41" s="66" t="n">
        <f aca="false">SUMPRODUCT((N$34:N$36&lt;N36)*N$27:N$29)</f>
        <v>0</v>
      </c>
      <c r="O41" s="66" t="n">
        <f aca="false">SUMPRODUCT((O$34:O$36&lt;O36)*O$27:O$29)</f>
        <v>0</v>
      </c>
      <c r="P41" s="66" t="n">
        <f aca="false">SUMPRODUCT((P$34:P$36&lt;P36)*P$27:P$29)</f>
        <v>0</v>
      </c>
      <c r="Q41" s="66" t="n">
        <f aca="false">SUMPRODUCT((Q$34:Q$36&lt;Q36)*Q$27:Q$29)</f>
        <v>0</v>
      </c>
      <c r="R41" s="66" t="n">
        <f aca="false">SUMPRODUCT((R$34:R$36&lt;R36)*R$27:R$29)</f>
        <v>0</v>
      </c>
      <c r="S41" s="66" t="n">
        <f aca="false">SUMPRODUCT((S$34:S$36&lt;S36)*S$27:S$29)</f>
        <v>0</v>
      </c>
    </row>
    <row r="43" customFormat="false" ht="14.25" hidden="false" customHeight="true" outlineLevel="0" collapsed="false">
      <c r="B43" s="14" t="s">
        <v>153</v>
      </c>
      <c r="C43" s="29" t="s">
        <v>82</v>
      </c>
    </row>
    <row r="44" customFormat="false" ht="14.25" hidden="false" customHeight="true" outlineLevel="0" collapsed="false">
      <c r="B44" s="8" t="s">
        <v>146</v>
      </c>
      <c r="C44" s="29" t="s">
        <v>82</v>
      </c>
      <c r="D44" s="32" t="n">
        <f aca="false">IF(AND(D39&lt;D$24,D39+D27&gt;=D$24),1,0)</f>
        <v>0</v>
      </c>
      <c r="E44" s="32" t="n">
        <f aca="false">IF(AND(E39&lt;E$24,E39+E27&gt;=E$24),1,0)</f>
        <v>0</v>
      </c>
      <c r="F44" s="32" t="n">
        <f aca="false">IF(AND(F39&lt;F$24,F39+F27&gt;=F$24),1,0)</f>
        <v>0</v>
      </c>
      <c r="G44" s="32" t="n">
        <f aca="false">IF(AND(G39&lt;G$24,G39+G27&gt;=G$24),1,0)</f>
        <v>0</v>
      </c>
      <c r="H44" s="32" t="n">
        <f aca="false">IF(AND(H39&lt;H$24,H39+H27&gt;=H$24),1,0)</f>
        <v>0</v>
      </c>
      <c r="I44" s="32" t="n">
        <f aca="false">IF(AND(I39&lt;I$24,I39+I27&gt;=I$24),1,0)</f>
        <v>0</v>
      </c>
      <c r="J44" s="32" t="n">
        <f aca="false">IF(AND(J39&lt;J$24,J39+J27&gt;=J$24),1,0)</f>
        <v>0</v>
      </c>
      <c r="K44" s="32" t="n">
        <f aca="false">IF(AND(K39&lt;K$24,K39+K27&gt;=K$24),1,0)</f>
        <v>0</v>
      </c>
      <c r="L44" s="32" t="n">
        <f aca="false">IF(AND(L39&lt;L$24,L39+L27&gt;=L$24),1,0)</f>
        <v>1</v>
      </c>
      <c r="M44" s="32" t="n">
        <f aca="false">IF(AND(M39&lt;M$24,M39+M27&gt;=M$24),1,0)</f>
        <v>1</v>
      </c>
      <c r="N44" s="32" t="n">
        <f aca="false">IF(AND(N39&lt;N$24,N39+N27&gt;=N$24),1,0)</f>
        <v>0</v>
      </c>
      <c r="O44" s="32" t="n">
        <f aca="false">IF(AND(O39&lt;O$24,O39+O27&gt;=O$24),1,0)</f>
        <v>0</v>
      </c>
      <c r="P44" s="32" t="n">
        <f aca="false">IF(AND(P39&lt;P$24,P39+P27&gt;=P$24),1,0)</f>
        <v>0</v>
      </c>
      <c r="Q44" s="32" t="n">
        <f aca="false">IF(AND(Q39&lt;Q$24,Q39+Q27&gt;=Q$24),1,0)</f>
        <v>0</v>
      </c>
      <c r="R44" s="32" t="n">
        <f aca="false">IF(AND(R39&lt;R$24,R39+R27&gt;=R$24),1,0)</f>
        <v>0</v>
      </c>
      <c r="S44" s="32" t="n">
        <f aca="false">IF(AND(S39&lt;S$24,S39+S27&gt;=S$24),1,0)</f>
        <v>0</v>
      </c>
    </row>
    <row r="45" customFormat="false" ht="14.25" hidden="false" customHeight="true" outlineLevel="0" collapsed="false">
      <c r="B45" s="8" t="s">
        <v>147</v>
      </c>
      <c r="C45" s="29" t="s">
        <v>82</v>
      </c>
      <c r="D45" s="32" t="n">
        <f aca="false">IF(AND(D40&lt;D$24,D40+D28&gt;=D$24),1,0)</f>
        <v>1</v>
      </c>
      <c r="E45" s="32" t="n">
        <f aca="false">IF(AND(E40&lt;E$24,E40+E28&gt;=E$24),1,0)</f>
        <v>1</v>
      </c>
      <c r="F45" s="32" t="n">
        <f aca="false">IF(AND(F40&lt;F$24,F40+F28&gt;=F$24),1,0)</f>
        <v>1</v>
      </c>
      <c r="G45" s="32" t="n">
        <f aca="false">IF(AND(G40&lt;G$24,G40+G28&gt;=G$24),1,0)</f>
        <v>1</v>
      </c>
      <c r="H45" s="32" t="n">
        <f aca="false">IF(AND(H40&lt;H$24,H40+H28&gt;=H$24),1,0)</f>
        <v>1</v>
      </c>
      <c r="I45" s="32" t="n">
        <f aca="false">IF(AND(I40&lt;I$24,I40+I28&gt;=I$24),1,0)</f>
        <v>1</v>
      </c>
      <c r="J45" s="32" t="n">
        <f aca="false">IF(AND(J40&lt;J$24,J40+J28&gt;=J$24),1,0)</f>
        <v>1</v>
      </c>
      <c r="K45" s="32" t="n">
        <f aca="false">IF(AND(K40&lt;K$24,K40+K28&gt;=K$24),1,0)</f>
        <v>1</v>
      </c>
      <c r="L45" s="32" t="n">
        <f aca="false">IF(AND(L40&lt;L$24,L40+L28&gt;=L$24),1,0)</f>
        <v>0</v>
      </c>
      <c r="M45" s="32" t="n">
        <f aca="false">IF(AND(M40&lt;M$24,M40+M28&gt;=M$24),1,0)</f>
        <v>0</v>
      </c>
      <c r="N45" s="32" t="n">
        <f aca="false">IF(AND(N40&lt;N$24,N40+N28&gt;=N$24),1,0)</f>
        <v>1</v>
      </c>
      <c r="O45" s="32" t="n">
        <f aca="false">IF(AND(O40&lt;O$24,O40+O28&gt;=O$24),1,0)</f>
        <v>1</v>
      </c>
      <c r="P45" s="32" t="n">
        <f aca="false">IF(AND(P40&lt;P$24,P40+P28&gt;=P$24),1,0)</f>
        <v>1</v>
      </c>
      <c r="Q45" s="32" t="n">
        <f aca="false">IF(AND(Q40&lt;Q$24,Q40+Q28&gt;=Q$24),1,0)</f>
        <v>1</v>
      </c>
      <c r="R45" s="32" t="n">
        <f aca="false">IF(AND(R40&lt;R$24,R40+R28&gt;=R$24),1,0)</f>
        <v>1</v>
      </c>
      <c r="S45" s="32" t="n">
        <f aca="false">IF(AND(S40&lt;S$24,S40+S28&gt;=S$24),1,0)</f>
        <v>1</v>
      </c>
    </row>
    <row r="46" customFormat="false" ht="14.25" hidden="false" customHeight="true" outlineLevel="0" collapsed="false">
      <c r="B46" s="8" t="s">
        <v>148</v>
      </c>
      <c r="C46" s="29" t="s">
        <v>82</v>
      </c>
      <c r="D46" s="32" t="n">
        <f aca="false">IF(AND(D41&lt;D$24,D41+D29&gt;=D$24),1,0)</f>
        <v>0</v>
      </c>
      <c r="E46" s="32" t="n">
        <f aca="false">IF(AND(E41&lt;E$24,E41+E29&gt;=E$24),1,0)</f>
        <v>0</v>
      </c>
      <c r="F46" s="32" t="n">
        <f aca="false">IF(AND(F41&lt;F$24,F41+F29&gt;=F$24),1,0)</f>
        <v>0</v>
      </c>
      <c r="G46" s="32" t="n">
        <f aca="false">IF(AND(G41&lt;G$24,G41+G29&gt;=G$24),1,0)</f>
        <v>0</v>
      </c>
      <c r="H46" s="32" t="n">
        <f aca="false">IF(AND(H41&lt;H$24,H41+H29&gt;=H$24),1,0)</f>
        <v>0</v>
      </c>
      <c r="I46" s="32" t="n">
        <f aca="false">IF(AND(I41&lt;I$24,I41+I29&gt;=I$24),1,0)</f>
        <v>0</v>
      </c>
      <c r="J46" s="32" t="n">
        <f aca="false">IF(AND(J41&lt;J$24,J41+J29&gt;=J$24),1,0)</f>
        <v>0</v>
      </c>
      <c r="K46" s="32" t="n">
        <f aca="false">IF(AND(K41&lt;K$24,K41+K29&gt;=K$24),1,0)</f>
        <v>0</v>
      </c>
      <c r="L46" s="32" t="n">
        <f aca="false">IF(AND(L41&lt;L$24,L41+L29&gt;=L$24),1,0)</f>
        <v>0</v>
      </c>
      <c r="M46" s="32" t="n">
        <f aca="false">IF(AND(M41&lt;M$24,M41+M29&gt;=M$24),1,0)</f>
        <v>0</v>
      </c>
      <c r="N46" s="32" t="n">
        <f aca="false">IF(AND(N41&lt;N$24,N41+N29&gt;=N$24),1,0)</f>
        <v>0</v>
      </c>
      <c r="O46" s="32" t="n">
        <f aca="false">IF(AND(O41&lt;O$24,O41+O29&gt;=O$24),1,0)</f>
        <v>0</v>
      </c>
      <c r="P46" s="32" t="n">
        <f aca="false">IF(AND(P41&lt;P$24,P41+P29&gt;=P$24),1,0)</f>
        <v>0</v>
      </c>
      <c r="Q46" s="32" t="n">
        <f aca="false">IF(AND(Q41&lt;Q$24,Q41+Q29&gt;=Q$24),1,0)</f>
        <v>0</v>
      </c>
      <c r="R46" s="32" t="n">
        <f aca="false">IF(AND(R41&lt;R$24,R41+R29&gt;=R$24),1,0)</f>
        <v>0</v>
      </c>
      <c r="S46" s="32" t="n">
        <f aca="false">IF(AND(S41&lt;S$24,S41+S29&gt;=S$24),1,0)</f>
        <v>0</v>
      </c>
    </row>
    <row r="47" customFormat="false" ht="14.25" hidden="false" customHeight="true" outlineLevel="0" collapsed="false">
      <c r="B47" s="8" t="s">
        <v>154</v>
      </c>
      <c r="C47" s="29" t="s">
        <v>155</v>
      </c>
      <c r="D47" s="71" t="str">
        <f aca="false">IF(D44=1,"Coal",IF(D45=1,"CCGT","Renewables"))</f>
        <v>CCGT</v>
      </c>
      <c r="E47" s="71" t="str">
        <f aca="false">IF(E44=1,"Coal",IF(E45=1,"CCGT","Renewables"))</f>
        <v>CCGT</v>
      </c>
      <c r="F47" s="71" t="str">
        <f aca="false">IF(F44=1,"Coal",IF(F45=1,"CCGT","Renewables"))</f>
        <v>CCGT</v>
      </c>
      <c r="G47" s="71" t="str">
        <f aca="false">IF(G44=1,"Coal",IF(G45=1,"CCGT","Renewables"))</f>
        <v>CCGT</v>
      </c>
      <c r="H47" s="71" t="str">
        <f aca="false">IF(H44=1,"Coal",IF(H45=1,"CCGT","Renewables"))</f>
        <v>CCGT</v>
      </c>
      <c r="I47" s="71" t="str">
        <f aca="false">IF(I44=1,"Coal",IF(I45=1,"CCGT","Renewables"))</f>
        <v>CCGT</v>
      </c>
      <c r="J47" s="71" t="str">
        <f aca="false">IF(J44=1,"Coal",IF(J45=1,"CCGT","Renewables"))</f>
        <v>CCGT</v>
      </c>
      <c r="K47" s="71" t="str">
        <f aca="false">IF(K44=1,"Coal",IF(K45=1,"CCGT","Renewables"))</f>
        <v>CCGT</v>
      </c>
      <c r="L47" s="71" t="str">
        <f aca="false">IF(L44=1,"Coal",IF(L45=1,"CCGT","Renewables"))</f>
        <v>Coal</v>
      </c>
      <c r="M47" s="71" t="str">
        <f aca="false">IF(M44=1,"Coal",IF(M45=1,"CCGT","Renewables"))</f>
        <v>Coal</v>
      </c>
      <c r="N47" s="71" t="str">
        <f aca="false">IF(N44=1,"Coal",IF(N45=1,"CCGT","Renewables"))</f>
        <v>CCGT</v>
      </c>
      <c r="O47" s="71" t="str">
        <f aca="false">IF(O44=1,"Coal",IF(O45=1,"CCGT","Renewables"))</f>
        <v>CCGT</v>
      </c>
      <c r="P47" s="71" t="str">
        <f aca="false">IF(P44=1,"Coal",IF(P45=1,"CCGT","Renewables"))</f>
        <v>CCGT</v>
      </c>
      <c r="Q47" s="71" t="str">
        <f aca="false">IF(Q44=1,"Coal",IF(Q45=1,"CCGT","Renewables"))</f>
        <v>CCGT</v>
      </c>
      <c r="R47" s="71" t="str">
        <f aca="false">IF(R44=1,"Coal",IF(R45=1,"CCGT","Renewables"))</f>
        <v>CCGT</v>
      </c>
      <c r="S47" s="71" t="str">
        <f aca="false">IF(S44=1,"Coal",IF(S45=1,"CCGT","Renewables"))</f>
        <v>CCGT</v>
      </c>
    </row>
    <row r="48" customFormat="false" ht="14.25" hidden="false" customHeight="true" outlineLevel="0" collapsed="false">
      <c r="B48" s="8" t="s">
        <v>156</v>
      </c>
      <c r="C48" s="29" t="s">
        <v>157</v>
      </c>
      <c r="D48" s="72" t="n">
        <f aca="false">SUMPRODUCT(D44:D46,D34:D36)</f>
        <v>55</v>
      </c>
      <c r="E48" s="72" t="n">
        <f aca="false">SUMPRODUCT(E44:E46,E34:E36)</f>
        <v>54.726368159204</v>
      </c>
      <c r="F48" s="72" t="n">
        <f aca="false">SUMPRODUCT(F44:F46,F34:F36)</f>
        <v>54.1845229299049</v>
      </c>
      <c r="G48" s="72" t="n">
        <f aca="false">SUMPRODUCT(G44:G46,G34:G36)</f>
        <v>53.3837664334039</v>
      </c>
      <c r="H48" s="72" t="n">
        <f aca="false">SUMPRODUCT(H44:H46,H34:H36)</f>
        <v>52.3370259151019</v>
      </c>
      <c r="I48" s="72" t="n">
        <f aca="false">SUMPRODUCT(I44:I46,I34:I36)</f>
        <v>51.0605130879043</v>
      </c>
      <c r="J48" s="72" t="n">
        <f aca="false">SUMPRODUCT(J44:J46,J34:J36)</f>
        <v>49.5733136775769</v>
      </c>
      <c r="K48" s="72" t="n">
        <f aca="false">SUMPRODUCT(K44:K46,K34:K36)</f>
        <v>47.8969214276106</v>
      </c>
      <c r="L48" s="72" t="n">
        <f aca="false">SUMPRODUCT(L44:L46,L34:L36)</f>
        <v>49.6778568168355</v>
      </c>
      <c r="M48" s="72" t="n">
        <f aca="false">SUMPRODUCT(M44:M46,M34:M36)</f>
        <v>50.6714139531723</v>
      </c>
      <c r="N48" s="72" t="n">
        <f aca="false">SUMPRODUCT(N44:N46,N34:N36)</f>
        <v>41.9728704870661</v>
      </c>
      <c r="O48" s="72" t="n">
        <f aca="false">SUMPRODUCT(O44:O46,O34:O36)</f>
        <v>39.7847113621479</v>
      </c>
      <c r="P48" s="72" t="n">
        <f aca="false">SUMPRODUCT(P44:P46,P34:P36)</f>
        <v>37.5327465680641</v>
      </c>
      <c r="Q48" s="72" t="n">
        <f aca="false">SUMPRODUCT(Q44:Q46,Q34:Q36)</f>
        <v>35.2420155568677</v>
      </c>
      <c r="R48" s="72" t="n">
        <f aca="false">SUMPRODUCT(R44:R46,R34:R36)</f>
        <v>32.9364631372595</v>
      </c>
      <c r="S48" s="72" t="n">
        <f aca="false">SUMPRODUCT(S44:S46,S34:S36)</f>
        <v>30.6385703602414</v>
      </c>
    </row>
    <row r="49" customFormat="false" ht="14.25" hidden="false" customHeight="true" outlineLevel="0" collapsed="false">
      <c r="B49" s="8" t="s">
        <v>158</v>
      </c>
      <c r="C49" s="29" t="s">
        <v>89</v>
      </c>
      <c r="D49" s="73" t="n">
        <f aca="false">D48*D8</f>
        <v>55</v>
      </c>
      <c r="E49" s="73" t="n">
        <f aca="false">E48*E8</f>
        <v>56.0945273631841</v>
      </c>
      <c r="F49" s="73" t="n">
        <f aca="false">F48*F8</f>
        <v>56.9276144032313</v>
      </c>
      <c r="G49" s="73" t="n">
        <f aca="false">G48*G8</f>
        <v>57.4884775993223</v>
      </c>
      <c r="H49" s="73" t="n">
        <f aca="false">H48*H8</f>
        <v>57.4884775993224</v>
      </c>
      <c r="I49" s="73" t="n">
        <f aca="false">I48*I8</f>
        <v>57.2080460012769</v>
      </c>
      <c r="J49" s="73" t="n">
        <f aca="false">J48*J8</f>
        <v>56.6526280789343</v>
      </c>
      <c r="K49" s="73" t="n">
        <f aca="false">K48*K8</f>
        <v>55.8315754980803</v>
      </c>
      <c r="L49" s="73" t="n">
        <f aca="false">L48*L8</f>
        <v>59.0656933556104</v>
      </c>
      <c r="M49" s="73" t="n">
        <f aca="false">M48*M8</f>
        <v>61.4519473671772</v>
      </c>
      <c r="N49" s="73" t="n">
        <f aca="false">N48*N8</f>
        <v>51.9208112687022</v>
      </c>
      <c r="O49" s="73" t="n">
        <f aca="false">O48*O8</f>
        <v>50.1983198995982</v>
      </c>
      <c r="P49" s="73" t="n">
        <f aca="false">P48*P8</f>
        <v>48.3040436769719</v>
      </c>
      <c r="Q49" s="73" t="n">
        <f aca="false">Q48*Q8</f>
        <v>46.2630277469591</v>
      </c>
      <c r="R49" s="73" t="n">
        <f aca="false">R48*R8</f>
        <v>44.1012040204656</v>
      </c>
      <c r="S49" s="73" t="n">
        <f aca="false">S48*S8</f>
        <v>41.8448633496511</v>
      </c>
    </row>
    <row r="50" customFormat="false" ht="14.25" hidden="false" customHeight="true" outlineLevel="0" collapsed="false">
      <c r="B50" s="8" t="s">
        <v>159</v>
      </c>
      <c r="C50" s="29" t="s">
        <v>89</v>
      </c>
      <c r="D50" s="73" t="n">
        <f aca="false">IF(D$5&lt;=Assumptions!$D$59,Assumptions!$D$55*D10,0)</f>
        <v>40</v>
      </c>
      <c r="E50" s="73" t="n">
        <f aca="false">IF(E$5&lt;=Assumptions!$D$59,Assumptions!$D$55*E10,0)</f>
        <v>40.4</v>
      </c>
      <c r="F50" s="73" t="n">
        <f aca="false">IF(F$5&lt;=Assumptions!$D$59,Assumptions!$D$55*F10,0)</f>
        <v>40.804</v>
      </c>
      <c r="G50" s="73" t="n">
        <f aca="false">IF(G$5&lt;=Assumptions!$D$59,Assumptions!$D$55*G10,0)</f>
        <v>41.21204</v>
      </c>
      <c r="H50" s="73" t="n">
        <f aca="false">IF(H$5&lt;=Assumptions!$D$59,Assumptions!$D$55*H10,0)</f>
        <v>41.4181002</v>
      </c>
      <c r="I50" s="73" t="n">
        <f aca="false">IF(I$5&lt;=Assumptions!$D$59,Assumptions!$D$55*I10,0)</f>
        <v>41.625190701</v>
      </c>
      <c r="J50" s="73" t="n">
        <f aca="false">IF(J$5&lt;=Assumptions!$D$59,Assumptions!$D$55*J10,0)</f>
        <v>41.833316654505</v>
      </c>
      <c r="K50" s="73" t="n">
        <f aca="false">IF(K$5&lt;=Assumptions!$D$59,Assumptions!$D$55*K10,0)</f>
        <v>42.0424832377775</v>
      </c>
      <c r="L50" s="73" t="n">
        <f aca="false">IF(L$5&lt;=Assumptions!$D$59,Assumptions!$D$55*L10,0)</f>
        <v>42.2526956539664</v>
      </c>
      <c r="M50" s="73" t="n">
        <f aca="false">IF(M$5&lt;=Assumptions!$D$59,Assumptions!$D$55*M10,0)</f>
        <v>42.4639591322362</v>
      </c>
      <c r="N50" s="73" t="n">
        <f aca="false">IF(N$5&lt;=Assumptions!$D$59,Assumptions!$D$55*N10,0)</f>
        <v>42.6762789278974</v>
      </c>
      <c r="O50" s="73" t="n">
        <f aca="false">IF(O$5&lt;=Assumptions!$D$59,Assumptions!$D$55*O10,0)</f>
        <v>0</v>
      </c>
      <c r="P50" s="73" t="n">
        <f aca="false">IF(P$5&lt;=Assumptions!$D$59,Assumptions!$D$55*P10,0)</f>
        <v>0</v>
      </c>
      <c r="Q50" s="73" t="n">
        <f aca="false">IF(Q$5&lt;=Assumptions!$D$59,Assumptions!$D$55*Q10,0)</f>
        <v>0</v>
      </c>
      <c r="R50" s="73" t="n">
        <f aca="false">IF(R$5&lt;=Assumptions!$D$59,Assumptions!$D$55*R10,0)</f>
        <v>0</v>
      </c>
      <c r="S50" s="73" t="n">
        <f aca="false">IF(S$5&lt;=Assumptions!$D$59,Assumptions!$D$55*S10,0)</f>
        <v>0</v>
      </c>
    </row>
    <row r="52" customFormat="false" ht="14.25" hidden="false" customHeight="true" outlineLevel="0" collapsed="false">
      <c r="B52" s="8" t="s">
        <v>160</v>
      </c>
      <c r="C52" s="29" t="s">
        <v>121</v>
      </c>
      <c r="D52" s="32" t="n">
        <f aca="false">D17*D49</f>
        <v>6875</v>
      </c>
      <c r="E52" s="32" t="n">
        <f aca="false">E17*E49</f>
        <v>7011.81592039801</v>
      </c>
      <c r="F52" s="32" t="n">
        <f aca="false">F17*F49</f>
        <v>7115.95180040392</v>
      </c>
      <c r="G52" s="32" t="n">
        <f aca="false">G17*G49</f>
        <v>7186.05969991529</v>
      </c>
      <c r="H52" s="32" t="n">
        <f aca="false">H17*H49</f>
        <v>7186.0596999153</v>
      </c>
      <c r="I52" s="32" t="n">
        <f aca="false">I17*I49</f>
        <v>7151.00575015961</v>
      </c>
      <c r="J52" s="32" t="n">
        <f aca="false">J17*J49</f>
        <v>7081.57850986679</v>
      </c>
      <c r="K52" s="32" t="n">
        <f aca="false">K17*K49</f>
        <v>6978.94693726003</v>
      </c>
      <c r="L52" s="32" t="n">
        <f aca="false">L17*L49</f>
        <v>7383.2116694513</v>
      </c>
      <c r="M52" s="32" t="n">
        <f aca="false">M17*M49</f>
        <v>7681.49342089715</v>
      </c>
      <c r="N52" s="32" t="n">
        <f aca="false">N17*N49</f>
        <v>6490.10140858777</v>
      </c>
      <c r="O52" s="32" t="n">
        <f aca="false">O17*O49</f>
        <v>6274.78998744978</v>
      </c>
      <c r="P52" s="32" t="n">
        <f aca="false">P17*P49</f>
        <v>6038.00545962149</v>
      </c>
      <c r="Q52" s="32" t="n">
        <f aca="false">Q17*Q49</f>
        <v>5782.87846836988</v>
      </c>
      <c r="R52" s="32" t="n">
        <f aca="false">R17*R49</f>
        <v>5512.6505025582</v>
      </c>
      <c r="S52" s="32" t="n">
        <f aca="false">S17*S49</f>
        <v>5230.60791870639</v>
      </c>
      <c r="T52" s="29"/>
      <c r="U52" s="29" t="s">
        <v>161</v>
      </c>
    </row>
    <row r="53" customFormat="false" ht="14.25" hidden="false" customHeight="true" outlineLevel="0" collapsed="false">
      <c r="B53" s="8" t="s">
        <v>162</v>
      </c>
      <c r="C53" s="29" t="s">
        <v>121</v>
      </c>
      <c r="D53" s="32" t="n">
        <f aca="false">D17*D50</f>
        <v>5000</v>
      </c>
      <c r="E53" s="32" t="n">
        <f aca="false">E17*E50</f>
        <v>5050</v>
      </c>
      <c r="F53" s="32" t="n">
        <f aca="false">F17*F50</f>
        <v>5100.5</v>
      </c>
      <c r="G53" s="32" t="n">
        <f aca="false">G17*G50</f>
        <v>5151.505</v>
      </c>
      <c r="H53" s="32" t="n">
        <f aca="false">H17*H50</f>
        <v>5177.262525</v>
      </c>
      <c r="I53" s="32" t="n">
        <f aca="false">I17*I50</f>
        <v>5203.148837625</v>
      </c>
      <c r="J53" s="32" t="n">
        <f aca="false">J17*J50</f>
        <v>5229.16458181312</v>
      </c>
      <c r="K53" s="32" t="n">
        <f aca="false">K17*K50</f>
        <v>5255.31040472219</v>
      </c>
      <c r="L53" s="32" t="n">
        <f aca="false">L17*L50</f>
        <v>5281.5869567458</v>
      </c>
      <c r="M53" s="32" t="n">
        <f aca="false">M17*M50</f>
        <v>5307.99489152953</v>
      </c>
      <c r="N53" s="32" t="n">
        <f aca="false">N17*N50</f>
        <v>5334.53486598718</v>
      </c>
      <c r="O53" s="32" t="n">
        <f aca="false">O17*O50</f>
        <v>0</v>
      </c>
      <c r="P53" s="32" t="n">
        <f aca="false">P17*P50</f>
        <v>0</v>
      </c>
      <c r="Q53" s="32" t="n">
        <f aca="false">Q17*Q50</f>
        <v>0</v>
      </c>
      <c r="R53" s="32" t="n">
        <f aca="false">R17*R50</f>
        <v>0</v>
      </c>
      <c r="S53" s="32" t="n">
        <f aca="false">S17*S50</f>
        <v>0</v>
      </c>
    </row>
    <row r="54" customFormat="false" ht="14.25" hidden="false" customHeight="true" outlineLevel="0" collapsed="false">
      <c r="B54" s="74" t="s">
        <v>163</v>
      </c>
      <c r="C54" s="75" t="s">
        <v>121</v>
      </c>
      <c r="D54" s="76" t="n">
        <f aca="false">SUM(D52:D53)</f>
        <v>11875</v>
      </c>
      <c r="E54" s="76" t="n">
        <f aca="false">SUM(E52:E53)</f>
        <v>12061.815920398</v>
      </c>
      <c r="F54" s="76" t="n">
        <f aca="false">SUM(F52:F53)</f>
        <v>12216.4518004039</v>
      </c>
      <c r="G54" s="76" t="n">
        <f aca="false">SUM(G52:G53)</f>
        <v>12337.5646999153</v>
      </c>
      <c r="H54" s="76" t="n">
        <f aca="false">SUM(H52:H53)</f>
        <v>12363.3222249153</v>
      </c>
      <c r="I54" s="76" t="n">
        <f aca="false">SUM(I52:I53)</f>
        <v>12354.1545877846</v>
      </c>
      <c r="J54" s="76" t="n">
        <f aca="false">SUM(J52:J53)</f>
        <v>12310.7430916799</v>
      </c>
      <c r="K54" s="76" t="n">
        <f aca="false">SUM(K52:K53)</f>
        <v>12234.2573419822</v>
      </c>
      <c r="L54" s="76" t="n">
        <f aca="false">SUM(L52:L53)</f>
        <v>12664.7986261971</v>
      </c>
      <c r="M54" s="76" t="n">
        <f aca="false">SUM(M52:M53)</f>
        <v>12989.4883124267</v>
      </c>
      <c r="N54" s="76" t="n">
        <f aca="false">SUM(N52:N53)</f>
        <v>11824.6362745749</v>
      </c>
      <c r="O54" s="76" t="n">
        <f aca="false">SUM(O52:O53)</f>
        <v>6274.78998744978</v>
      </c>
      <c r="P54" s="76" t="n">
        <f aca="false">SUM(P52:P53)</f>
        <v>6038.00545962149</v>
      </c>
      <c r="Q54" s="76" t="n">
        <f aca="false">SUM(Q52:Q53)</f>
        <v>5782.87846836988</v>
      </c>
      <c r="R54" s="76" t="n">
        <f aca="false">SUM(R52:R53)</f>
        <v>5512.6505025582</v>
      </c>
      <c r="S54" s="76" t="n">
        <f aca="false">SUM(S52:S53)</f>
        <v>5230.60791870639</v>
      </c>
    </row>
    <row r="58" customFormat="false" ht="17.25" hidden="false" customHeight="true" outlineLevel="0" collapsed="false">
      <c r="A58" s="24" t="n">
        <f aca="false">MAX($A$2:A57)+0.01</f>
        <v>2.02</v>
      </c>
      <c r="B58" s="24" t="s">
        <v>164</v>
      </c>
      <c r="C58" s="24"/>
      <c r="D58" s="24"/>
      <c r="E58" s="24"/>
      <c r="F58" s="24"/>
      <c r="G58" s="24"/>
      <c r="H58" s="24"/>
      <c r="I58" s="24"/>
      <c r="J58" s="24"/>
      <c r="K58" s="24"/>
      <c r="L58" s="24"/>
      <c r="M58" s="24"/>
      <c r="N58" s="24"/>
      <c r="O58" s="24"/>
      <c r="P58" s="24"/>
      <c r="Q58" s="24"/>
      <c r="R58" s="24"/>
      <c r="S58" s="24"/>
    </row>
    <row r="59" customFormat="false" ht="15" hidden="false" customHeight="true" outlineLevel="0" collapsed="false"/>
    <row r="60" customFormat="false" ht="14.25" hidden="false" customHeight="true" outlineLevel="0" collapsed="false">
      <c r="B60" s="8" t="s">
        <v>165</v>
      </c>
      <c r="C60" s="29" t="s">
        <v>121</v>
      </c>
      <c r="D60" s="32" t="n">
        <f aca="false">Assumptions!$D$62*Assumptions!$D$47*D9</f>
        <v>2500</v>
      </c>
      <c r="E60" s="32" t="n">
        <f aca="false">Assumptions!$D$62*Assumptions!$D$47*E9</f>
        <v>2568.75</v>
      </c>
      <c r="F60" s="32" t="n">
        <f aca="false">Assumptions!$D$62*Assumptions!$D$47*F9</f>
        <v>2639.390625</v>
      </c>
      <c r="G60" s="32" t="n">
        <f aca="false">Assumptions!$D$62*Assumptions!$D$47*G9</f>
        <v>2711.9738671875</v>
      </c>
      <c r="H60" s="32" t="n">
        <f aca="false">Assumptions!$D$62*Assumptions!$D$47*H9</f>
        <v>2772.99327919922</v>
      </c>
      <c r="I60" s="32" t="n">
        <f aca="false">Assumptions!$D$62*Assumptions!$D$47*I9</f>
        <v>2835.3856279812</v>
      </c>
      <c r="J60" s="32" t="n">
        <f aca="false">Assumptions!$D$62*Assumptions!$D$47*J9</f>
        <v>2899.18180461078</v>
      </c>
      <c r="K60" s="32" t="n">
        <f aca="false">Assumptions!$D$62*Assumptions!$D$47*K9</f>
        <v>2964.41339521452</v>
      </c>
      <c r="L60" s="32" t="n">
        <f aca="false">Assumptions!$D$62*Assumptions!$D$47*L9</f>
        <v>3031.11269660685</v>
      </c>
      <c r="M60" s="32" t="n">
        <f aca="false">Assumptions!$D$62*Assumptions!$D$47*M9</f>
        <v>3099.3127322805</v>
      </c>
      <c r="N60" s="32" t="n">
        <f aca="false">Assumptions!$D$62*Assumptions!$D$47*N9</f>
        <v>3169.04726875681</v>
      </c>
      <c r="O60" s="32" t="n">
        <f aca="false">Assumptions!$D$62*Assumptions!$D$47*O9</f>
        <v>3240.35083230384</v>
      </c>
      <c r="P60" s="32" t="n">
        <f aca="false">Assumptions!$D$62*Assumptions!$D$47*P9</f>
        <v>3313.25872603068</v>
      </c>
      <c r="Q60" s="32" t="n">
        <f aca="false">Assumptions!$D$62*Assumptions!$D$47*Q9</f>
        <v>3387.80704736637</v>
      </c>
      <c r="R60" s="32" t="n">
        <f aca="false">Assumptions!$D$62*Assumptions!$D$47*R9</f>
        <v>3464.03270593211</v>
      </c>
      <c r="S60" s="32" t="n">
        <f aca="false">Assumptions!$D$62*Assumptions!$D$47*S9</f>
        <v>3541.97344181558</v>
      </c>
    </row>
    <row r="61" customFormat="false" ht="14.25" hidden="false" customHeight="true" outlineLevel="0" collapsed="false">
      <c r="B61" s="8" t="s">
        <v>166</v>
      </c>
      <c r="C61" s="29" t="s">
        <v>121</v>
      </c>
      <c r="D61" s="32" t="n">
        <f aca="false">Assumptions!$D$63*D17*D9</f>
        <v>625</v>
      </c>
      <c r="E61" s="32" t="n">
        <f aca="false">Assumptions!$D$63*E17*E9</f>
        <v>642.1875</v>
      </c>
      <c r="F61" s="32" t="n">
        <f aca="false">Assumptions!$D$63*F17*F9</f>
        <v>659.84765625</v>
      </c>
      <c r="G61" s="32" t="n">
        <f aca="false">Assumptions!$D$63*G17*G9</f>
        <v>677.993466796875</v>
      </c>
      <c r="H61" s="32" t="n">
        <f aca="false">Assumptions!$D$63*H17*H9</f>
        <v>693.248319799805</v>
      </c>
      <c r="I61" s="32" t="n">
        <f aca="false">Assumptions!$D$63*I17*I9</f>
        <v>708.8464069953</v>
      </c>
      <c r="J61" s="32" t="n">
        <f aca="false">Assumptions!$D$63*J17*J9</f>
        <v>724.795451152695</v>
      </c>
      <c r="K61" s="32" t="n">
        <f aca="false">Assumptions!$D$63*K17*K9</f>
        <v>741.10334880363</v>
      </c>
      <c r="L61" s="32" t="n">
        <f aca="false">Assumptions!$D$63*L17*L9</f>
        <v>757.778174151712</v>
      </c>
      <c r="M61" s="32" t="n">
        <f aca="false">Assumptions!$D$63*M17*M9</f>
        <v>774.828183070125</v>
      </c>
      <c r="N61" s="32" t="n">
        <f aca="false">Assumptions!$D$63*N17*N9</f>
        <v>792.261817189203</v>
      </c>
      <c r="O61" s="32" t="n">
        <f aca="false">Assumptions!$D$63*O17*O9</f>
        <v>810.08770807596</v>
      </c>
      <c r="P61" s="32" t="n">
        <f aca="false">Assumptions!$D$63*P17*P9</f>
        <v>828.314681507669</v>
      </c>
      <c r="Q61" s="32" t="n">
        <f aca="false">Assumptions!$D$63*Q17*Q9</f>
        <v>846.951761841592</v>
      </c>
      <c r="R61" s="32" t="n">
        <f aca="false">Assumptions!$D$63*R17*R9</f>
        <v>866.008176483028</v>
      </c>
      <c r="S61" s="32" t="n">
        <f aca="false">Assumptions!$D$63*S17*S9</f>
        <v>885.493360453896</v>
      </c>
    </row>
    <row r="62" customFormat="false" ht="14.25" hidden="false" customHeight="true" outlineLevel="0" collapsed="false">
      <c r="B62" s="8" t="s">
        <v>167</v>
      </c>
      <c r="C62" s="29" t="s">
        <v>121</v>
      </c>
      <c r="D62" s="76" t="n">
        <f aca="false">SUM(D60:D61)</f>
        <v>3125</v>
      </c>
      <c r="E62" s="76" t="n">
        <f aca="false">SUM(E60:E61)</f>
        <v>3210.9375</v>
      </c>
      <c r="F62" s="76" t="n">
        <f aca="false">SUM(F60:F61)</f>
        <v>3299.23828125</v>
      </c>
      <c r="G62" s="76" t="n">
        <f aca="false">SUM(G60:G61)</f>
        <v>3389.96733398438</v>
      </c>
      <c r="H62" s="76" t="n">
        <f aca="false">SUM(H60:H61)</f>
        <v>3466.24159899902</v>
      </c>
      <c r="I62" s="76" t="n">
        <f aca="false">SUM(I60:I61)</f>
        <v>3544.2320349765</v>
      </c>
      <c r="J62" s="76" t="n">
        <f aca="false">SUM(J60:J61)</f>
        <v>3623.97725576347</v>
      </c>
      <c r="K62" s="76" t="n">
        <f aca="false">SUM(K60:K61)</f>
        <v>3705.51674401815</v>
      </c>
      <c r="L62" s="76" t="n">
        <f aca="false">SUM(L60:L61)</f>
        <v>3788.89087075856</v>
      </c>
      <c r="M62" s="76" t="n">
        <f aca="false">SUM(M60:M61)</f>
        <v>3874.14091535063</v>
      </c>
      <c r="N62" s="76" t="n">
        <f aca="false">SUM(N60:N61)</f>
        <v>3961.30908594602</v>
      </c>
      <c r="O62" s="76" t="n">
        <f aca="false">SUM(O60:O61)</f>
        <v>4050.4385403798</v>
      </c>
      <c r="P62" s="76" t="n">
        <f aca="false">SUM(P60:P61)</f>
        <v>4141.57340753835</v>
      </c>
      <c r="Q62" s="76" t="n">
        <f aca="false">SUM(Q60:Q61)</f>
        <v>4234.75880920796</v>
      </c>
      <c r="R62" s="76" t="n">
        <f aca="false">SUM(R60:R61)</f>
        <v>4330.04088241514</v>
      </c>
      <c r="S62" s="76" t="n">
        <f aca="false">SUM(S60:S61)</f>
        <v>4427.46680226948</v>
      </c>
    </row>
    <row r="64" customFormat="false" ht="14.25" hidden="false" customHeight="true" outlineLevel="0" collapsed="false">
      <c r="B64" s="8" t="s">
        <v>168</v>
      </c>
      <c r="C64" s="29" t="s">
        <v>121</v>
      </c>
      <c r="D64" s="77" t="n">
        <f aca="false">D54-D62</f>
        <v>8750</v>
      </c>
      <c r="E64" s="77" t="n">
        <f aca="false">E54-E62</f>
        <v>8850.87842039801</v>
      </c>
      <c r="F64" s="77" t="n">
        <f aca="false">F54-F62</f>
        <v>8917.21351915392</v>
      </c>
      <c r="G64" s="77" t="n">
        <f aca="false">G54-G62</f>
        <v>8947.59736593092</v>
      </c>
      <c r="H64" s="77" t="n">
        <f aca="false">H54-H62</f>
        <v>8897.08062591627</v>
      </c>
      <c r="I64" s="77" t="n">
        <f aca="false">I54-I62</f>
        <v>8809.92255280811</v>
      </c>
      <c r="J64" s="77" t="n">
        <f aca="false">J54-J62</f>
        <v>8686.76583591644</v>
      </c>
      <c r="K64" s="77" t="n">
        <f aca="false">K54-K62</f>
        <v>8528.74059796407</v>
      </c>
      <c r="L64" s="77" t="n">
        <f aca="false">L54-L62</f>
        <v>8875.90775543854</v>
      </c>
      <c r="M64" s="77" t="n">
        <f aca="false">M54-M62</f>
        <v>9115.34739707605</v>
      </c>
      <c r="N64" s="77" t="n">
        <f aca="false">N54-N62</f>
        <v>7863.32718862893</v>
      </c>
      <c r="O64" s="77" t="n">
        <f aca="false">O54-O62</f>
        <v>2224.35144706998</v>
      </c>
      <c r="P64" s="77" t="n">
        <f aca="false">P54-P62</f>
        <v>1896.43205208315</v>
      </c>
      <c r="Q64" s="77" t="n">
        <f aca="false">Q54-Q62</f>
        <v>1548.11965916192</v>
      </c>
      <c r="R64" s="77" t="n">
        <f aca="false">R54-R62</f>
        <v>1182.60962014306</v>
      </c>
      <c r="S64" s="77" t="n">
        <f aca="false">S54-S62</f>
        <v>803.141116436907</v>
      </c>
    </row>
    <row r="65" customFormat="false" ht="14.25" hidden="false" customHeight="true" outlineLevel="0" collapsed="false">
      <c r="B65" s="8" t="s">
        <v>169</v>
      </c>
      <c r="C65" s="29" t="s">
        <v>54</v>
      </c>
      <c r="D65" s="78" t="n">
        <f aca="false">IF(D54=0,0,D64/D54)</f>
        <v>0.736842105263158</v>
      </c>
      <c r="E65" s="78" t="n">
        <f aca="false">IF(E54=0,0,E64/E54)</f>
        <v>0.733793193231385</v>
      </c>
      <c r="F65" s="78" t="n">
        <f aca="false">IF(F54=0,0,F64/F54)</f>
        <v>0.729934817805206</v>
      </c>
      <c r="G65" s="78" t="n">
        <f aca="false">IF(G54=0,0,G64/G54)</f>
        <v>0.725232052156318</v>
      </c>
      <c r="H65" s="78" t="n">
        <f aca="false">IF(H54=0,0,H64/H54)</f>
        <v>0.719635100020798</v>
      </c>
      <c r="I65" s="78" t="n">
        <f aca="false">IF(I54=0,0,I64/I54)</f>
        <v>0.713114158496857</v>
      </c>
      <c r="J65" s="78" t="n">
        <f aca="false">IF(J54=0,0,J64/J54)</f>
        <v>0.705624816570764</v>
      </c>
      <c r="K65" s="78" t="n">
        <f aca="false">IF(K54=0,0,K64/K54)</f>
        <v>0.697119601097276</v>
      </c>
      <c r="L65" s="78" t="n">
        <f aca="false">IF(L54=0,0,L64/L54)</f>
        <v>0.700832916291203</v>
      </c>
      <c r="M65" s="78" t="n">
        <f aca="false">IF(M54=0,0,M64/M54)</f>
        <v>0.701747996366851</v>
      </c>
      <c r="N65" s="78" t="n">
        <f aca="false">IF(N54=0,0,N64/N54)</f>
        <v>0.664995269709604</v>
      </c>
      <c r="O65" s="78" t="n">
        <f aca="false">IF(O54=0,0,O64/O54)</f>
        <v>0.354490182383619</v>
      </c>
      <c r="P65" s="78" t="n">
        <f aca="false">IF(P54=0,0,P64/P54)</f>
        <v>0.314082533506359</v>
      </c>
      <c r="Q65" s="78" t="n">
        <f aca="false">IF(Q54=0,0,Q64/Q54)</f>
        <v>0.267707451856293</v>
      </c>
      <c r="R65" s="78" t="n">
        <f aca="false">IF(R54=0,0,R64/R54)</f>
        <v>0.214526500382032</v>
      </c>
      <c r="S65" s="78" t="n">
        <f aca="false">IF(S54=0,0,S64/S54)</f>
        <v>0.153546419253603</v>
      </c>
    </row>
    <row r="67" customFormat="false" ht="14.25" hidden="false" customHeight="true" outlineLevel="0" collapsed="false">
      <c r="B67" s="8" t="s">
        <v>170</v>
      </c>
      <c r="C67" s="29" t="s">
        <v>121</v>
      </c>
      <c r="E67" s="32" t="n">
        <f aca="false">Output!$D$76/Assumptions!$D$52</f>
        <v>4500</v>
      </c>
      <c r="F67" s="32" t="n">
        <f aca="false">Output!$D$76/Assumptions!$D$52</f>
        <v>4500</v>
      </c>
      <c r="G67" s="32" t="n">
        <f aca="false">Output!$D$76/Assumptions!$D$52</f>
        <v>4500</v>
      </c>
      <c r="H67" s="32" t="n">
        <f aca="false">Output!$D$76/Assumptions!$D$52</f>
        <v>4500</v>
      </c>
      <c r="I67" s="32" t="n">
        <f aca="false">Output!$D$76/Assumptions!$D$52</f>
        <v>4500</v>
      </c>
      <c r="J67" s="32" t="n">
        <f aca="false">Output!$D$76/Assumptions!$D$52</f>
        <v>4500</v>
      </c>
      <c r="K67" s="32" t="n">
        <f aca="false">Output!$D$76/Assumptions!$D$52</f>
        <v>4500</v>
      </c>
      <c r="L67" s="32" t="n">
        <f aca="false">Output!$D$76/Assumptions!$D$52</f>
        <v>4500</v>
      </c>
      <c r="M67" s="32" t="n">
        <f aca="false">Output!$D$76/Assumptions!$D$52</f>
        <v>4500</v>
      </c>
      <c r="N67" s="32" t="n">
        <f aca="false">Output!$D$76/Assumptions!$D$52</f>
        <v>4500</v>
      </c>
      <c r="O67" s="32" t="n">
        <f aca="false">Output!$D$76/Assumptions!$D$52</f>
        <v>4500</v>
      </c>
      <c r="P67" s="32" t="n">
        <f aca="false">Output!$D$76/Assumptions!$D$52</f>
        <v>4500</v>
      </c>
      <c r="Q67" s="32" t="n">
        <f aca="false">Output!$D$76/Assumptions!$D$52</f>
        <v>4500</v>
      </c>
      <c r="R67" s="32" t="n">
        <f aca="false">Output!$D$76/Assumptions!$D$52</f>
        <v>4500</v>
      </c>
      <c r="S67" s="32" t="n">
        <f aca="false">Output!$D$76/Assumptions!$D$52</f>
        <v>4500</v>
      </c>
    </row>
    <row r="71" customFormat="false" ht="17.25" hidden="false" customHeight="true" outlineLevel="0" collapsed="false">
      <c r="A71" s="24" t="n">
        <f aca="false">MAX($A$2:A70)+0.01</f>
        <v>2.03</v>
      </c>
      <c r="B71" s="24" t="s">
        <v>171</v>
      </c>
      <c r="C71" s="24"/>
      <c r="D71" s="24"/>
      <c r="E71" s="24"/>
      <c r="F71" s="24"/>
      <c r="G71" s="24"/>
      <c r="H71" s="24"/>
      <c r="I71" s="24"/>
      <c r="J71" s="24"/>
      <c r="K71" s="24"/>
      <c r="L71" s="24"/>
      <c r="M71" s="24"/>
      <c r="N71" s="24"/>
      <c r="O71" s="24"/>
      <c r="P71" s="24"/>
      <c r="Q71" s="24"/>
      <c r="R71" s="24"/>
      <c r="S71" s="24"/>
    </row>
    <row r="72" customFormat="false" ht="15" hidden="false" customHeight="true" outlineLevel="0" collapsed="false"/>
    <row r="73" customFormat="false" ht="14.25" hidden="false" customHeight="true" outlineLevel="0" collapsed="false">
      <c r="B73" s="8" t="s">
        <v>172</v>
      </c>
      <c r="C73" s="29" t="s">
        <v>173</v>
      </c>
      <c r="D73" s="66" t="n">
        <f aca="false">Output!$D$75/$D$54*365</f>
        <v>36.8842105263158</v>
      </c>
      <c r="E73" s="66" t="n">
        <f aca="false">$D$73</f>
        <v>36.8842105263158</v>
      </c>
      <c r="F73" s="66" t="n">
        <f aca="false">$D$73</f>
        <v>36.8842105263158</v>
      </c>
      <c r="G73" s="66" t="n">
        <f aca="false">$D$73</f>
        <v>36.8842105263158</v>
      </c>
      <c r="H73" s="66" t="n">
        <f aca="false">$D$73</f>
        <v>36.8842105263158</v>
      </c>
      <c r="I73" s="66" t="n">
        <f aca="false">$D$73</f>
        <v>36.8842105263158</v>
      </c>
      <c r="J73" s="66" t="n">
        <f aca="false">$D$73</f>
        <v>36.8842105263158</v>
      </c>
      <c r="K73" s="66" t="n">
        <f aca="false">$D$73</f>
        <v>36.8842105263158</v>
      </c>
      <c r="L73" s="66" t="n">
        <f aca="false">$D$73</f>
        <v>36.8842105263158</v>
      </c>
      <c r="M73" s="66" t="n">
        <f aca="false">$D$73</f>
        <v>36.8842105263158</v>
      </c>
      <c r="N73" s="66" t="n">
        <f aca="false">$D$73</f>
        <v>36.8842105263158</v>
      </c>
      <c r="O73" s="66" t="n">
        <f aca="false">$D$73</f>
        <v>36.8842105263158</v>
      </c>
      <c r="P73" s="66" t="n">
        <f aca="false">$D$73</f>
        <v>36.8842105263158</v>
      </c>
      <c r="Q73" s="66" t="n">
        <f aca="false">$D$73</f>
        <v>36.8842105263158</v>
      </c>
      <c r="R73" s="66" t="n">
        <f aca="false">$D$73</f>
        <v>36.8842105263158</v>
      </c>
      <c r="S73" s="66" t="n">
        <f aca="false">$D$73</f>
        <v>36.8842105263158</v>
      </c>
      <c r="T73" s="29"/>
      <c r="U73" s="29" t="s">
        <v>174</v>
      </c>
    </row>
    <row r="74" customFormat="false" ht="14.25" hidden="false" customHeight="true" outlineLevel="0" collapsed="false">
      <c r="B74" s="8" t="s">
        <v>175</v>
      </c>
      <c r="C74" s="29" t="s">
        <v>173</v>
      </c>
      <c r="D74" s="66" t="n">
        <f aca="false">Output!$D$81/$D$62*365</f>
        <v>35.04</v>
      </c>
      <c r="E74" s="66" t="n">
        <f aca="false">$D$74</f>
        <v>35.04</v>
      </c>
      <c r="F74" s="66" t="n">
        <f aca="false">$D$74</f>
        <v>35.04</v>
      </c>
      <c r="G74" s="66" t="n">
        <f aca="false">$D$74</f>
        <v>35.04</v>
      </c>
      <c r="H74" s="66" t="n">
        <f aca="false">$D$74</f>
        <v>35.04</v>
      </c>
      <c r="I74" s="66" t="n">
        <f aca="false">$D$74</f>
        <v>35.04</v>
      </c>
      <c r="J74" s="66" t="n">
        <f aca="false">$D$74</f>
        <v>35.04</v>
      </c>
      <c r="K74" s="66" t="n">
        <f aca="false">$D$74</f>
        <v>35.04</v>
      </c>
      <c r="L74" s="66" t="n">
        <f aca="false">$D$74</f>
        <v>35.04</v>
      </c>
      <c r="M74" s="66" t="n">
        <f aca="false">$D$74</f>
        <v>35.04</v>
      </c>
      <c r="N74" s="66" t="n">
        <f aca="false">$D$74</f>
        <v>35.04</v>
      </c>
      <c r="O74" s="66" t="n">
        <f aca="false">$D$74</f>
        <v>35.04</v>
      </c>
      <c r="P74" s="66" t="n">
        <f aca="false">$D$74</f>
        <v>35.04</v>
      </c>
      <c r="Q74" s="66" t="n">
        <f aca="false">$D$74</f>
        <v>35.04</v>
      </c>
      <c r="R74" s="66" t="n">
        <f aca="false">$D$74</f>
        <v>35.04</v>
      </c>
      <c r="S74" s="66" t="n">
        <f aca="false">$D$74</f>
        <v>35.04</v>
      </c>
    </row>
    <row r="76" customFormat="false" ht="14.25" hidden="false" customHeight="true" outlineLevel="0" collapsed="false">
      <c r="B76" s="8" t="s">
        <v>176</v>
      </c>
      <c r="C76" s="29" t="s">
        <v>121</v>
      </c>
      <c r="D76" s="32" t="n">
        <f aca="false">D54*D73/365</f>
        <v>1200</v>
      </c>
      <c r="E76" s="32" t="n">
        <f aca="false">E54*E73/365</f>
        <v>1218.87824037706</v>
      </c>
      <c r="F76" s="32" t="n">
        <f aca="false">F54*F73/365</f>
        <v>1234.50460298819</v>
      </c>
      <c r="G76" s="32" t="n">
        <f aca="false">G54*G73/365</f>
        <v>1246.74338020197</v>
      </c>
      <c r="H76" s="32" t="n">
        <f aca="false">H54*H73/365</f>
        <v>1249.34624588618</v>
      </c>
      <c r="I76" s="32" t="n">
        <f aca="false">I54*I73/365</f>
        <v>1248.41983202876</v>
      </c>
      <c r="J76" s="32" t="n">
        <f aca="false">J54*J73/365</f>
        <v>1244.0329861066</v>
      </c>
      <c r="K76" s="32" t="n">
        <f aca="false">K54*K73/365</f>
        <v>1236.30389982136</v>
      </c>
      <c r="L76" s="32" t="n">
        <f aca="false">L54*L73/365</f>
        <v>1279.81122959465</v>
      </c>
      <c r="M76" s="32" t="n">
        <f aca="false">M54*M73/365</f>
        <v>1312.6219768347</v>
      </c>
      <c r="N76" s="32" t="n">
        <f aca="false">N54*N73/365</f>
        <v>1194.91061300968</v>
      </c>
      <c r="O76" s="32" t="n">
        <f aca="false">O54*O73/365</f>
        <v>634.08404083703</v>
      </c>
      <c r="P76" s="32" t="n">
        <f aca="false">P54*P73/365</f>
        <v>610.156341182803</v>
      </c>
      <c r="Q76" s="32" t="n">
        <f aca="false">Q54*Q73/365</f>
        <v>584.375087330009</v>
      </c>
      <c r="R76" s="32" t="n">
        <f aca="false">R54*R73/365</f>
        <v>557.067840258513</v>
      </c>
      <c r="S76" s="32" t="n">
        <f aca="false">S54*S73/365</f>
        <v>528.566694942961</v>
      </c>
    </row>
    <row r="77" customFormat="false" ht="14.25" hidden="false" customHeight="true" outlineLevel="0" collapsed="false">
      <c r="B77" s="8" t="s">
        <v>177</v>
      </c>
      <c r="C77" s="29" t="s">
        <v>121</v>
      </c>
      <c r="D77" s="32" t="n">
        <f aca="false">D62*D74/365</f>
        <v>300</v>
      </c>
      <c r="E77" s="32" t="n">
        <f aca="false">E62*E74/365</f>
        <v>308.25</v>
      </c>
      <c r="F77" s="32" t="n">
        <f aca="false">F62*F74/365</f>
        <v>316.726875</v>
      </c>
      <c r="G77" s="32" t="n">
        <f aca="false">G62*G74/365</f>
        <v>325.4368640625</v>
      </c>
      <c r="H77" s="32" t="n">
        <f aca="false">H62*H74/365</f>
        <v>332.759193503906</v>
      </c>
      <c r="I77" s="32" t="n">
        <f aca="false">I62*I74/365</f>
        <v>340.246275357744</v>
      </c>
      <c r="J77" s="32" t="n">
        <f aca="false">J62*J74/365</f>
        <v>347.901816553293</v>
      </c>
      <c r="K77" s="32" t="n">
        <f aca="false">K62*K74/365</f>
        <v>355.729607425743</v>
      </c>
      <c r="L77" s="32" t="n">
        <f aca="false">L62*L74/365</f>
        <v>363.733523592822</v>
      </c>
      <c r="M77" s="32" t="n">
        <f aca="false">M62*M74/365</f>
        <v>371.91752787366</v>
      </c>
      <c r="N77" s="32" t="n">
        <f aca="false">N62*N74/365</f>
        <v>380.285672250818</v>
      </c>
      <c r="O77" s="32" t="n">
        <f aca="false">O62*O74/365</f>
        <v>388.842099876461</v>
      </c>
      <c r="P77" s="32" t="n">
        <f aca="false">P62*P74/365</f>
        <v>397.591047123681</v>
      </c>
      <c r="Q77" s="32" t="n">
        <f aca="false">Q62*Q74/365</f>
        <v>406.536845683964</v>
      </c>
      <c r="R77" s="32" t="n">
        <f aca="false">R62*R74/365</f>
        <v>415.683924711853</v>
      </c>
      <c r="S77" s="32" t="n">
        <f aca="false">S62*S74/365</f>
        <v>425.03681301787</v>
      </c>
    </row>
    <row r="78" customFormat="false" ht="14.25" hidden="false" customHeight="true" outlineLevel="0" collapsed="false">
      <c r="B78" s="8" t="s">
        <v>178</v>
      </c>
      <c r="C78" s="29" t="s">
        <v>121</v>
      </c>
      <c r="D78" s="76" t="n">
        <f aca="false">D76-D77</f>
        <v>900</v>
      </c>
      <c r="E78" s="76" t="n">
        <f aca="false">E76-E77</f>
        <v>910.628240377062</v>
      </c>
      <c r="F78" s="76" t="n">
        <f aca="false">F76-F77</f>
        <v>917.777727988185</v>
      </c>
      <c r="G78" s="76" t="n">
        <f aca="false">G76-G77</f>
        <v>921.306516139466</v>
      </c>
      <c r="H78" s="76" t="n">
        <f aca="false">H76-H77</f>
        <v>916.587052382271</v>
      </c>
      <c r="I78" s="76" t="n">
        <f aca="false">I76-I77</f>
        <v>908.173556671017</v>
      </c>
      <c r="J78" s="76" t="n">
        <f aca="false">J76-J77</f>
        <v>896.131169553308</v>
      </c>
      <c r="K78" s="76" t="n">
        <f aca="false">K76-K77</f>
        <v>880.574292395619</v>
      </c>
      <c r="L78" s="76" t="n">
        <f aca="false">L76-L77</f>
        <v>916.077706001832</v>
      </c>
      <c r="M78" s="76" t="n">
        <f aca="false">M76-M77</f>
        <v>940.704448961035</v>
      </c>
      <c r="N78" s="76" t="n">
        <f aca="false">N76-N77</f>
        <v>814.624940758861</v>
      </c>
      <c r="O78" s="76" t="n">
        <f aca="false">O76-O77</f>
        <v>245.241940960569</v>
      </c>
      <c r="P78" s="76" t="n">
        <f aca="false">P76-P77</f>
        <v>212.565294059122</v>
      </c>
      <c r="Q78" s="76" t="n">
        <f aca="false">Q76-Q77</f>
        <v>177.838241646045</v>
      </c>
      <c r="R78" s="76" t="n">
        <f aca="false">R76-R77</f>
        <v>141.38391554666</v>
      </c>
      <c r="S78" s="76" t="n">
        <f aca="false">S76-S77</f>
        <v>103.529881925091</v>
      </c>
    </row>
    <row r="79" customFormat="false" ht="14.25" hidden="false" customHeight="true" outlineLevel="0" collapsed="false">
      <c r="B79" s="8" t="s">
        <v>179</v>
      </c>
      <c r="C79" s="29" t="s">
        <v>121</v>
      </c>
      <c r="E79" s="32" t="n">
        <f aca="false">-(E78-D78)</f>
        <v>-10.628240377062</v>
      </c>
      <c r="F79" s="32" t="n">
        <f aca="false">-(F78-E78)</f>
        <v>-7.14948761112328</v>
      </c>
      <c r="G79" s="32" t="n">
        <f aca="false">-(G78-F78)</f>
        <v>-3.52878815128111</v>
      </c>
      <c r="H79" s="32" t="n">
        <f aca="false">-(H78-G78)</f>
        <v>4.7194637571954</v>
      </c>
      <c r="I79" s="32" t="n">
        <f aca="false">-(I78-H78)</f>
        <v>8.41349571125409</v>
      </c>
      <c r="J79" s="32" t="n">
        <f aca="false">-(J78-I78)</f>
        <v>12.0423871177085</v>
      </c>
      <c r="K79" s="32" t="n">
        <f aca="false">-(K78-J78)</f>
        <v>15.5568771576893</v>
      </c>
      <c r="L79" s="32" t="n">
        <f aca="false">-(L78-K78)</f>
        <v>-35.5034136062134</v>
      </c>
      <c r="M79" s="32" t="n">
        <f aca="false">-(M78-L78)</f>
        <v>-24.6267429592028</v>
      </c>
      <c r="N79" s="32" t="n">
        <f aca="false">-(N78-M78)</f>
        <v>126.079508202174</v>
      </c>
      <c r="O79" s="32" t="n">
        <f aca="false">-(O78-N78)</f>
        <v>569.382999798292</v>
      </c>
      <c r="P79" s="32" t="n">
        <f aca="false">-(P78-O78)</f>
        <v>32.6766469014473</v>
      </c>
      <c r="Q79" s="32" t="n">
        <f aca="false">-(Q78-P78)</f>
        <v>34.7270524130773</v>
      </c>
      <c r="R79" s="32" t="n">
        <f aca="false">-(R78-Q78)</f>
        <v>36.4543260993854</v>
      </c>
      <c r="S79" s="32" t="n">
        <f aca="false">-(S78-R78)</f>
        <v>37.8540336215685</v>
      </c>
    </row>
    <row r="96" customFormat="false" ht="17.25" hidden="false" customHeight="true" outlineLevel="0" collapsed="false">
      <c r="A96" s="24" t="n">
        <f aca="false">MAX($A$2:A95)+0.01</f>
        <v>2.04</v>
      </c>
      <c r="B96" s="24" t="s">
        <v>180</v>
      </c>
      <c r="C96" s="24"/>
      <c r="D96" s="24"/>
      <c r="E96" s="24"/>
      <c r="F96" s="24"/>
      <c r="G96" s="24"/>
      <c r="H96" s="24"/>
      <c r="I96" s="24"/>
      <c r="J96" s="24"/>
      <c r="K96" s="24"/>
      <c r="L96" s="24"/>
      <c r="M96" s="24"/>
      <c r="N96" s="24"/>
      <c r="O96" s="24"/>
      <c r="P96" s="24"/>
      <c r="Q96" s="24"/>
      <c r="R96" s="24"/>
      <c r="S96" s="24"/>
    </row>
    <row r="97" customFormat="false" ht="15" hidden="false" customHeight="true" outlineLevel="0" collapsed="false"/>
    <row r="98" customFormat="false" ht="14.25" hidden="false" customHeight="true" outlineLevel="0" collapsed="false">
      <c r="B98" s="8" t="s">
        <v>181</v>
      </c>
      <c r="C98" s="29" t="s">
        <v>121</v>
      </c>
      <c r="D98" s="77" t="n">
        <f aca="false">SUM(E105:S105)</f>
        <v>51242.478779</v>
      </c>
    </row>
    <row r="99" customFormat="false" ht="14.25" hidden="false" customHeight="true" outlineLevel="0" collapsed="false">
      <c r="B99" s="8" t="s">
        <v>108</v>
      </c>
      <c r="C99" s="29" t="s">
        <v>121</v>
      </c>
      <c r="D99" s="32" t="n">
        <f aca="false">D98*Assumptions!$D$76</f>
        <v>1024.84957558</v>
      </c>
    </row>
    <row r="100" customFormat="false" ht="14.25" hidden="false" customHeight="true" outlineLevel="0" collapsed="false">
      <c r="B100" s="8" t="s">
        <v>182</v>
      </c>
      <c r="C100" s="29" t="s">
        <v>111</v>
      </c>
      <c r="D100" s="79" t="n">
        <f aca="false">MIN(E110:P110)</f>
        <v>1.29999999980488</v>
      </c>
    </row>
    <row r="102" customFormat="false" ht="14.25" hidden="false" customHeight="true" outlineLevel="0" collapsed="false">
      <c r="B102" s="8" t="s">
        <v>183</v>
      </c>
      <c r="C102" s="29" t="s">
        <v>121</v>
      </c>
      <c r="E102" s="32" t="n">
        <f aca="false">IF(E$6&lt;=Assumptions!$D$74,D106,0)</f>
        <v>51242.478779</v>
      </c>
      <c r="F102" s="32" t="n">
        <f aca="false">IF(F$6&lt;=Assumptions!$D$74,E106,0)</f>
        <v>46861.400235</v>
      </c>
      <c r="G102" s="32" t="n">
        <f aca="false">IF(G$6&lt;=Assumptions!$D$74,F106,0)</f>
        <v>42335.076227</v>
      </c>
      <c r="H102" s="32" t="n">
        <f aca="false">IF(H$6&lt;=Assumptions!$D$74,G106,0)</f>
        <v>37754.250152</v>
      </c>
      <c r="I102" s="32" t="n">
        <f aca="false">IF(I$6&lt;=Assumptions!$D$74,H106,0)</f>
        <v>33159.778382</v>
      </c>
      <c r="J102" s="32" t="n">
        <f aca="false">IF(J$6&lt;=Assumptions!$D$74,I106,0)</f>
        <v>28542.697556</v>
      </c>
      <c r="K102" s="32" t="n">
        <f aca="false">IF(K$6&lt;=Assumptions!$D$74,J106,0)</f>
        <v>23862.237219</v>
      </c>
      <c r="L102" s="32" t="n">
        <f aca="false">IF(L$6&lt;=Assumptions!$D$74,K106,0)</f>
        <v>19093.111778</v>
      </c>
      <c r="M102" s="32" t="n">
        <f aca="false">IF(M$6&lt;=Assumptions!$D$74,L106,0)</f>
        <v>13971.368095</v>
      </c>
      <c r="N102" s="32" t="n">
        <f aca="false">IF(N$6&lt;=Assumptions!$D$74,M106,0)</f>
        <v>8480.98891900002</v>
      </c>
      <c r="O102" s="32" t="n">
        <f aca="false">IF(O$6&lt;=Assumptions!$D$74,N106,0)</f>
        <v>3358.42182600002</v>
      </c>
      <c r="P102" s="32" t="n">
        <f aca="false">IF(P$6&lt;=Assumptions!$D$74,O106,0)</f>
        <v>1403.03409600002</v>
      </c>
      <c r="Q102" s="32" t="n">
        <f aca="false">IF(Q$6&lt;=Assumptions!$D$74,P106,0)</f>
        <v>0</v>
      </c>
      <c r="R102" s="32" t="n">
        <f aca="false">IF(R$6&lt;=Assumptions!$D$74,Q106,0)</f>
        <v>0</v>
      </c>
      <c r="S102" s="32" t="n">
        <f aca="false">IF(S$6&lt;=Assumptions!$D$74,R106,0)</f>
        <v>0</v>
      </c>
    </row>
    <row r="103" customFormat="false" ht="14.25" hidden="false" customHeight="true" outlineLevel="0" collapsed="false">
      <c r="B103" s="8" t="s">
        <v>184</v>
      </c>
      <c r="C103" s="29" t="s">
        <v>121</v>
      </c>
      <c r="E103" s="32" t="n">
        <f aca="false">E102*Assumptions!E80</f>
        <v>1979.50428581257</v>
      </c>
      <c r="F103" s="32" t="n">
        <f aca="false">F102*Assumptions!F80</f>
        <v>1850.37188039362</v>
      </c>
      <c r="G103" s="32" t="n">
        <f aca="false">G102*Assumptions!G80</f>
        <v>1808.04416342762</v>
      </c>
      <c r="H103" s="32" t="n">
        <f aca="false">H102*Assumptions!H80</f>
        <v>1762.92158527442</v>
      </c>
      <c r="I103" s="32" t="n">
        <f aca="false">I102*Assumptions!I80</f>
        <v>1676.19178024638</v>
      </c>
      <c r="J103" s="32" t="n">
        <f aca="false">J102*Assumptions!J80</f>
        <v>1513.20891370148</v>
      </c>
      <c r="K103" s="32" t="n">
        <f aca="false">K102*Assumptions!K80</f>
        <v>1293.90503360153</v>
      </c>
      <c r="L103" s="32" t="n">
        <f aca="false">L102*Assumptions!L80</f>
        <v>1056.67775976528</v>
      </c>
      <c r="M103" s="32" t="n">
        <f aca="false">M102*Assumptions!M80</f>
        <v>781.658961043867</v>
      </c>
      <c r="N103" s="32" t="n">
        <f aca="false">N102*Assumptions!N80</f>
        <v>486.274963523665</v>
      </c>
      <c r="O103" s="32" t="n">
        <f aca="false">O102*Assumptions!O80</f>
        <v>193.638767230638</v>
      </c>
      <c r="P103" s="32" t="n">
        <f aca="false">P102*Assumptions!P80</f>
        <v>80.8956726724161</v>
      </c>
      <c r="Q103" s="32" t="n">
        <f aca="false">Q102*Assumptions!Q80</f>
        <v>0</v>
      </c>
      <c r="R103" s="32" t="n">
        <f aca="false">R102*Assumptions!R80</f>
        <v>0</v>
      </c>
      <c r="S103" s="32" t="n">
        <f aca="false">S102*Assumptions!S80</f>
        <v>0</v>
      </c>
    </row>
    <row r="104" customFormat="false" ht="14.25" hidden="false" customHeight="true" outlineLevel="0" collapsed="false">
      <c r="B104" s="8" t="s">
        <v>185</v>
      </c>
      <c r="C104" s="29" t="s">
        <v>121</v>
      </c>
      <c r="E104" s="32" t="n">
        <f aca="false">E103+E105</f>
        <v>6360.58282981257</v>
      </c>
      <c r="F104" s="32" t="n">
        <f aca="false">F103+F105</f>
        <v>6376.69588839362</v>
      </c>
      <c r="G104" s="32" t="n">
        <f aca="false">G103+G105</f>
        <v>6388.87023842762</v>
      </c>
      <c r="H104" s="32" t="n">
        <f aca="false">H103+H105</f>
        <v>6357.39335527442</v>
      </c>
      <c r="I104" s="32" t="n">
        <f aca="false">I103+I105</f>
        <v>6293.27260624638</v>
      </c>
      <c r="J104" s="32" t="n">
        <f aca="false">J103+J105</f>
        <v>6193.66925070148</v>
      </c>
      <c r="K104" s="32" t="n">
        <f aca="false">K103+K105</f>
        <v>6063.03047460153</v>
      </c>
      <c r="L104" s="32" t="n">
        <f aca="false">L103+L105</f>
        <v>6178.42144276528</v>
      </c>
      <c r="M104" s="32" t="n">
        <f aca="false">M103+M105</f>
        <v>6272.03813704387</v>
      </c>
      <c r="N104" s="32" t="n">
        <f aca="false">N103+N105</f>
        <v>5608.84205652367</v>
      </c>
      <c r="O104" s="32" t="n">
        <f aca="false">O103+O105</f>
        <v>2149.02649723064</v>
      </c>
      <c r="P104" s="32" t="n">
        <f aca="false">P103+P105</f>
        <v>1483.92976867242</v>
      </c>
      <c r="Q104" s="32" t="n">
        <f aca="false">Q103+Q105</f>
        <v>0</v>
      </c>
      <c r="R104" s="32" t="n">
        <f aca="false">R103+R105</f>
        <v>0</v>
      </c>
      <c r="S104" s="32" t="n">
        <f aca="false">S103+S105</f>
        <v>0</v>
      </c>
    </row>
    <row r="105" customFormat="false" ht="14.25" hidden="false" customHeight="true" outlineLevel="0" collapsed="false">
      <c r="B105" s="8" t="s">
        <v>186</v>
      </c>
      <c r="C105" s="29" t="s">
        <v>121</v>
      </c>
      <c r="E105" s="48" t="n">
        <v>4381.078544</v>
      </c>
      <c r="F105" s="48" t="n">
        <v>4526.324008</v>
      </c>
      <c r="G105" s="48" t="n">
        <v>4580.826075</v>
      </c>
      <c r="H105" s="48" t="n">
        <v>4594.47177</v>
      </c>
      <c r="I105" s="48" t="n">
        <v>4617.080826</v>
      </c>
      <c r="J105" s="48" t="n">
        <v>4680.460337</v>
      </c>
      <c r="K105" s="48" t="n">
        <v>4769.125441</v>
      </c>
      <c r="L105" s="48" t="n">
        <v>5121.743683</v>
      </c>
      <c r="M105" s="48" t="n">
        <v>5490.379176</v>
      </c>
      <c r="N105" s="48" t="n">
        <v>5122.567093</v>
      </c>
      <c r="O105" s="48" t="n">
        <v>1955.38773</v>
      </c>
      <c r="P105" s="48" t="n">
        <v>1403.034096</v>
      </c>
      <c r="Q105" s="47" t="n">
        <v>0</v>
      </c>
      <c r="R105" s="47" t="n">
        <v>0</v>
      </c>
      <c r="S105" s="47" t="n">
        <v>0</v>
      </c>
      <c r="T105" s="29"/>
      <c r="U105" s="29" t="s">
        <v>187</v>
      </c>
    </row>
    <row r="106" customFormat="false" ht="14.25" hidden="false" customHeight="true" outlineLevel="0" collapsed="false">
      <c r="B106" s="8" t="s">
        <v>188</v>
      </c>
      <c r="C106" s="29" t="s">
        <v>121</v>
      </c>
      <c r="D106" s="32" t="n">
        <f aca="false">D98</f>
        <v>51242.478779</v>
      </c>
      <c r="E106" s="77" t="n">
        <f aca="false">E102-E105</f>
        <v>46861.400235</v>
      </c>
      <c r="F106" s="77" t="n">
        <f aca="false">F102-F105</f>
        <v>42335.076227</v>
      </c>
      <c r="G106" s="77" t="n">
        <f aca="false">G102-G105</f>
        <v>37754.250152</v>
      </c>
      <c r="H106" s="77" t="n">
        <f aca="false">H102-H105</f>
        <v>33159.778382</v>
      </c>
      <c r="I106" s="77" t="n">
        <f aca="false">I102-I105</f>
        <v>28542.697556</v>
      </c>
      <c r="J106" s="77" t="n">
        <f aca="false">J102-J105</f>
        <v>23862.237219</v>
      </c>
      <c r="K106" s="77" t="n">
        <f aca="false">K102-K105</f>
        <v>19093.111778</v>
      </c>
      <c r="L106" s="77" t="n">
        <f aca="false">L102-L105</f>
        <v>13971.368095</v>
      </c>
      <c r="M106" s="77" t="n">
        <f aca="false">M102-M105</f>
        <v>8480.98891900002</v>
      </c>
      <c r="N106" s="77" t="n">
        <f aca="false">N102-N105</f>
        <v>3358.42182600002</v>
      </c>
      <c r="O106" s="77" t="n">
        <f aca="false">O102-O105</f>
        <v>1403.03409600002</v>
      </c>
      <c r="P106" s="77" t="n">
        <f aca="false">P102-P105</f>
        <v>1.61435309564695E-011</v>
      </c>
      <c r="Q106" s="77" t="n">
        <f aca="false">Q102-Q105</f>
        <v>0</v>
      </c>
      <c r="R106" s="77" t="n">
        <f aca="false">R102-R105</f>
        <v>0</v>
      </c>
      <c r="S106" s="77" t="n">
        <f aca="false">S102-S105</f>
        <v>0</v>
      </c>
    </row>
    <row r="107" customFormat="false" ht="14.25" hidden="false" customHeight="true" outlineLevel="0" collapsed="false">
      <c r="B107" s="8" t="s">
        <v>189</v>
      </c>
      <c r="C107" s="29" t="s">
        <v>121</v>
      </c>
      <c r="E107" s="32" t="n">
        <f aca="false">IF(E$6&lt;=Assumptions!$D$74,$D$99/Assumptions!$D$74,0)</f>
        <v>85.4041312983334</v>
      </c>
      <c r="F107" s="32" t="n">
        <f aca="false">IF(F$6&lt;=Assumptions!$D$74,$D$99/Assumptions!$D$74,0)</f>
        <v>85.4041312983334</v>
      </c>
      <c r="G107" s="32" t="n">
        <f aca="false">IF(G$6&lt;=Assumptions!$D$74,$D$99/Assumptions!$D$74,0)</f>
        <v>85.4041312983334</v>
      </c>
      <c r="H107" s="32" t="n">
        <f aca="false">IF(H$6&lt;=Assumptions!$D$74,$D$99/Assumptions!$D$74,0)</f>
        <v>85.4041312983334</v>
      </c>
      <c r="I107" s="32" t="n">
        <f aca="false">IF(I$6&lt;=Assumptions!$D$74,$D$99/Assumptions!$D$74,0)</f>
        <v>85.4041312983334</v>
      </c>
      <c r="J107" s="32" t="n">
        <f aca="false">IF(J$6&lt;=Assumptions!$D$74,$D$99/Assumptions!$D$74,0)</f>
        <v>85.4041312983334</v>
      </c>
      <c r="K107" s="32" t="n">
        <f aca="false">IF(K$6&lt;=Assumptions!$D$74,$D$99/Assumptions!$D$74,0)</f>
        <v>85.4041312983334</v>
      </c>
      <c r="L107" s="32" t="n">
        <f aca="false">IF(L$6&lt;=Assumptions!$D$74,$D$99/Assumptions!$D$74,0)</f>
        <v>85.4041312983334</v>
      </c>
      <c r="M107" s="32" t="n">
        <f aca="false">IF(M$6&lt;=Assumptions!$D$74,$D$99/Assumptions!$D$74,0)</f>
        <v>85.4041312983334</v>
      </c>
      <c r="N107" s="32" t="n">
        <f aca="false">IF(N$6&lt;=Assumptions!$D$74,$D$99/Assumptions!$D$74,0)</f>
        <v>85.4041312983334</v>
      </c>
      <c r="O107" s="32" t="n">
        <f aca="false">IF(O$6&lt;=Assumptions!$D$74,$D$99/Assumptions!$D$74,0)</f>
        <v>85.4041312983334</v>
      </c>
      <c r="P107" s="32" t="n">
        <f aca="false">IF(P$6&lt;=Assumptions!$D$74,$D$99/Assumptions!$D$74,0)</f>
        <v>85.4041312983334</v>
      </c>
      <c r="Q107" s="32" t="n">
        <f aca="false">IF(Q$6&lt;=Assumptions!$D$74,$D$99/Assumptions!$D$74,0)</f>
        <v>0</v>
      </c>
      <c r="R107" s="32" t="n">
        <f aca="false">IF(R$6&lt;=Assumptions!$D$74,$D$99/Assumptions!$D$74,0)</f>
        <v>0</v>
      </c>
      <c r="S107" s="32" t="n">
        <f aca="false">IF(S$6&lt;=Assumptions!$D$74,$D$99/Assumptions!$D$74,0)</f>
        <v>0</v>
      </c>
    </row>
    <row r="109" customFormat="false" ht="14.25" hidden="false" customHeight="true" outlineLevel="0" collapsed="false">
      <c r="B109" s="8" t="s">
        <v>190</v>
      </c>
      <c r="C109" s="29" t="s">
        <v>121</v>
      </c>
      <c r="E109" s="77" t="n">
        <f aca="false">E64-E145+E79</f>
        <v>8268.75767919917</v>
      </c>
      <c r="F109" s="77" t="n">
        <f aca="false">F64-F145+F79</f>
        <v>8289.7046546773</v>
      </c>
      <c r="G109" s="77" t="n">
        <f aca="false">G64-G145+G79</f>
        <v>8305.5313099784</v>
      </c>
      <c r="H109" s="77" t="n">
        <f aca="false">H64-H145+H79</f>
        <v>8264.61136233759</v>
      </c>
      <c r="I109" s="77" t="n">
        <f aca="false">I64-I145+I79</f>
        <v>8181.25438820352</v>
      </c>
      <c r="J109" s="77" t="n">
        <f aca="false">J64-J145+J79</f>
        <v>8051.77002530499</v>
      </c>
      <c r="K109" s="77" t="n">
        <f aca="false">K64-K145+K79</f>
        <v>7881.93961685571</v>
      </c>
      <c r="L109" s="77" t="n">
        <f aca="false">L64-L145+L79</f>
        <v>8031.94787573859</v>
      </c>
      <c r="M109" s="77" t="n">
        <f aca="false">M64-M145+M79</f>
        <v>8153.64957793338</v>
      </c>
      <c r="N109" s="77" t="n">
        <f aca="false">N64-N145+N79</f>
        <v>7291.49467337937</v>
      </c>
      <c r="O109" s="77" t="n">
        <f aca="false">O64-O145+O79</f>
        <v>2793.73444686827</v>
      </c>
      <c r="P109" s="77" t="n">
        <f aca="false">P64-P145+P79</f>
        <v>1929.10869898459</v>
      </c>
      <c r="Q109" s="77" t="n">
        <f aca="false">Q64-Q145+Q79</f>
        <v>1582.846711575</v>
      </c>
      <c r="R109" s="77" t="n">
        <f aca="false">R64-R145+R79</f>
        <v>1219.06394624245</v>
      </c>
      <c r="S109" s="77" t="n">
        <f aca="false">S64-S145+S79</f>
        <v>840.995150058475</v>
      </c>
    </row>
    <row r="110" customFormat="false" ht="14.25" hidden="false" customHeight="true" outlineLevel="0" collapsed="false">
      <c r="B110" s="8" t="s">
        <v>191</v>
      </c>
      <c r="C110" s="29" t="s">
        <v>111</v>
      </c>
      <c r="E110" s="80" t="n">
        <f aca="false">IF(E104=0,"n/a",E109/E104)</f>
        <v>1.30000000006962</v>
      </c>
      <c r="F110" s="80" t="n">
        <f aca="false">IF(F104=0,"n/a",F109/F104)</f>
        <v>1.29999999996324</v>
      </c>
      <c r="G110" s="80" t="n">
        <f aca="false">IF(G104=0,"n/a",G109/G104)</f>
        <v>1.30000000000352</v>
      </c>
      <c r="H110" s="80" t="n">
        <f aca="false">IF(H104=0,"n/a",H109/H104)</f>
        <v>1.30000000007564</v>
      </c>
      <c r="I110" s="80" t="n">
        <f aca="false">IF(I104=0,"n/a",I109/I104)</f>
        <v>1.30000000001322</v>
      </c>
      <c r="J110" s="80" t="n">
        <f aca="false">IF(J104=0,"n/a",J109/J104)</f>
        <v>1.29999999990201</v>
      </c>
      <c r="K110" s="80" t="n">
        <f aca="false">IF(K104=0,"n/a",K109/K104)</f>
        <v>1.29999999997917</v>
      </c>
      <c r="L110" s="80" t="n">
        <f aca="false">IF(L104=0,"n/a",L109/L104)</f>
        <v>1.30000000002326</v>
      </c>
      <c r="M110" s="80" t="n">
        <f aca="false">IF(M104=0,"n/a",M109/M104)</f>
        <v>1.29999999996434</v>
      </c>
      <c r="N110" s="80" t="n">
        <f aca="false">IF(N104=0,"n/a",N109/N104)</f>
        <v>1.29999999998192</v>
      </c>
      <c r="O110" s="80" t="n">
        <f aca="false">IF(O104=0,"n/a",O109/O104)</f>
        <v>1.30000000021798</v>
      </c>
      <c r="P110" s="80" t="n">
        <f aca="false">IF(P104=0,"n/a",P109/P104)</f>
        <v>1.29999999980488</v>
      </c>
      <c r="Q110" s="80" t="str">
        <f aca="false">IF(Q104=0,"n/a",Q109/Q104)</f>
        <v>n/a</v>
      </c>
      <c r="R110" s="80" t="str">
        <f aca="false">IF(R104=0,"n/a",R109/R104)</f>
        <v>n/a</v>
      </c>
      <c r="S110" s="80" t="str">
        <f aca="false">IF(S104=0,"n/a",S109/S104)</f>
        <v>n/a</v>
      </c>
    </row>
    <row r="112" customFormat="false" ht="14.25" hidden="false" customHeight="true" outlineLevel="0" collapsed="false">
      <c r="B112" s="14" t="s">
        <v>192</v>
      </c>
    </row>
    <row r="113" customFormat="false" ht="14.25" hidden="false" customHeight="true" outlineLevel="0" collapsed="false">
      <c r="B113" s="8" t="s">
        <v>193</v>
      </c>
      <c r="C113" s="29" t="s">
        <v>111</v>
      </c>
      <c r="E113" s="61" t="n">
        <f aca="false">IF(E$6&lt;=Assumptions!$D$74,1/(1+Assumptions!E80),0)</f>
        <v>0.962806641695369</v>
      </c>
      <c r="F113" s="61" t="n">
        <f aca="false">IF(F$6&lt;=Assumptions!$D$74,E113/(1+Assumptions!F80),0)</f>
        <v>0.92623334003373</v>
      </c>
      <c r="G113" s="61" t="n">
        <f aca="false">IF(G$6&lt;=Assumptions!$D$74,F113/(1+Assumptions!G80),0)</f>
        <v>0.888296040413579</v>
      </c>
      <c r="H113" s="61" t="n">
        <f aca="false">IF(H$6&lt;=Assumptions!$D$74,G113/(1+Assumptions!H80),0)</f>
        <v>0.848667792871719</v>
      </c>
      <c r="I113" s="61" t="n">
        <f aca="false">IF(I$6&lt;=Assumptions!$D$74,H113/(1+Assumptions!I80),0)</f>
        <v>0.807832702821232</v>
      </c>
      <c r="J113" s="61" t="n">
        <f aca="false">IF(J$6&lt;=Assumptions!$D$74,I113/(1+Assumptions!J80),0)</f>
        <v>0.76716117465019</v>
      </c>
      <c r="K113" s="61" t="n">
        <f aca="false">IF(K$6&lt;=Assumptions!$D$74,J113/(1+Assumptions!K80),0)</f>
        <v>0.727702274493872</v>
      </c>
      <c r="L113" s="61" t="n">
        <f aca="false">IF(L$6&lt;=Assumptions!$D$74,K113/(1+Assumptions!L80),0)</f>
        <v>0.689540743935595</v>
      </c>
      <c r="M113" s="61" t="n">
        <f aca="false">IF(M$6&lt;=Assumptions!$D$74,L113/(1+Assumptions!M80),0)</f>
        <v>0.653006838083283</v>
      </c>
      <c r="N113" s="61" t="n">
        <f aca="false">IF(N$6&lt;=Assumptions!$D$74,M113/(1+Assumptions!N80),0)</f>
        <v>0.617595715969602</v>
      </c>
      <c r="O113" s="61" t="n">
        <f aca="false">IF(O$6&lt;=Assumptions!$D$74,N113/(1+Assumptions!O80),0)</f>
        <v>0.58392780126252</v>
      </c>
      <c r="P113" s="61" t="n">
        <f aca="false">IF(P$6&lt;=Assumptions!$D$74,O113/(1+Assumptions!P80),0)</f>
        <v>0.552095275712799</v>
      </c>
      <c r="Q113" s="61" t="n">
        <f aca="false">IF(Q$6&lt;=Assumptions!$D$74,P113/(1+Assumptions!Q80),0)</f>
        <v>0</v>
      </c>
      <c r="R113" s="61" t="n">
        <f aca="false">IF(R$6&lt;=Assumptions!$D$74,Q113/(1+Assumptions!R80),0)</f>
        <v>0</v>
      </c>
      <c r="S113" s="61" t="n">
        <f aca="false">IF(S$6&lt;=Assumptions!$D$74,R113/(1+Assumptions!S80),0)</f>
        <v>0</v>
      </c>
    </row>
    <row r="114" customFormat="false" ht="14.25" hidden="false" customHeight="true" outlineLevel="0" collapsed="false">
      <c r="B114" s="8" t="s">
        <v>194</v>
      </c>
      <c r="C114" s="29" t="s">
        <v>121</v>
      </c>
      <c r="E114" s="32" t="n">
        <f aca="false">E109*E113</f>
        <v>7961.21481210255</v>
      </c>
      <c r="F114" s="32" t="n">
        <f aca="false">F109*F113</f>
        <v>7678.20083019491</v>
      </c>
      <c r="G114" s="32" t="n">
        <f aca="false">G109*G113</f>
        <v>7377.77057618481</v>
      </c>
      <c r="H114" s="32" t="n">
        <f aca="false">H109*H113</f>
        <v>7013.90948381757</v>
      </c>
      <c r="I114" s="32" t="n">
        <f aca="false">I109*I113</f>
        <v>6609.08484489051</v>
      </c>
      <c r="J114" s="32" t="n">
        <f aca="false">J109*J113</f>
        <v>6177.00535062617</v>
      </c>
      <c r="K114" s="32" t="n">
        <f aca="false">K109*K113</f>
        <v>5735.70538660926</v>
      </c>
      <c r="L114" s="32" t="n">
        <f aca="false">L109*L113</f>
        <v>5538.35531348871</v>
      </c>
      <c r="M114" s="32" t="n">
        <f aca="false">M109*M113</f>
        <v>5324.38892972538</v>
      </c>
      <c r="N114" s="32" t="n">
        <f aca="false">N109*N113</f>
        <v>4503.19587329427</v>
      </c>
      <c r="O114" s="32" t="n">
        <f aca="false">O109*O113</f>
        <v>1631.33921287115</v>
      </c>
      <c r="P114" s="32" t="n">
        <f aca="false">P109*P113</f>
        <v>1065.05179904586</v>
      </c>
      <c r="Q114" s="32" t="n">
        <f aca="false">Q109*Q113</f>
        <v>0</v>
      </c>
      <c r="R114" s="32" t="n">
        <f aca="false">R109*R113</f>
        <v>0</v>
      </c>
      <c r="S114" s="32" t="n">
        <f aca="false">S109*S113</f>
        <v>0</v>
      </c>
    </row>
    <row r="115" customFormat="false" ht="14.25" hidden="false" customHeight="true" outlineLevel="0" collapsed="false">
      <c r="B115" s="8" t="s">
        <v>195</v>
      </c>
      <c r="C115" s="29" t="s">
        <v>121</v>
      </c>
      <c r="D115" s="32" t="n">
        <f aca="false">SUM(E114:S114)/Assumptions!$D$78</f>
        <v>51242.4787791163</v>
      </c>
    </row>
    <row r="116" customFormat="false" ht="14.25" hidden="false" customHeight="true" outlineLevel="0" collapsed="false">
      <c r="B116" s="8" t="s">
        <v>196</v>
      </c>
      <c r="C116" s="29" t="s">
        <v>121</v>
      </c>
      <c r="D116" s="32" t="n">
        <f aca="false">Assumptions!$D$77*Output!$D$76</f>
        <v>57375</v>
      </c>
    </row>
    <row r="117" customFormat="false" ht="14.25" hidden="false" customHeight="true" outlineLevel="0" collapsed="false">
      <c r="B117" s="8" t="s">
        <v>197</v>
      </c>
      <c r="C117" s="29" t="s">
        <v>121</v>
      </c>
      <c r="D117" s="77" t="n">
        <f aca="false">MIN(D115,D116)</f>
        <v>51242.4787791163</v>
      </c>
    </row>
    <row r="118" customFormat="false" ht="14.25" hidden="false" customHeight="true" outlineLevel="0" collapsed="false">
      <c r="B118" s="8" t="s">
        <v>198</v>
      </c>
      <c r="C118" s="29" t="s">
        <v>121</v>
      </c>
      <c r="D118" s="72" t="n">
        <f aca="false">D98-D117</f>
        <v>-1.16269802674651E-007</v>
      </c>
    </row>
    <row r="119" customFormat="false" ht="14.25" hidden="false" customHeight="true" outlineLevel="0" collapsed="false">
      <c r="B119" s="8" t="s">
        <v>199</v>
      </c>
      <c r="C119" s="29" t="s">
        <v>155</v>
      </c>
      <c r="D119" s="71" t="str">
        <f aca="false">IF(D116&lt;D115,"85% of fixed assets","DSCR floor")</f>
        <v>DSCR floor</v>
      </c>
    </row>
    <row r="120" customFormat="false" ht="14.25" hidden="false" customHeight="true" outlineLevel="0" collapsed="false">
      <c r="B120" s="14" t="s">
        <v>200</v>
      </c>
    </row>
    <row r="121" customFormat="false" ht="14.25" hidden="false" customHeight="true" outlineLevel="0" collapsed="false">
      <c r="B121" s="8" t="s">
        <v>201</v>
      </c>
      <c r="C121" s="29" t="s">
        <v>121</v>
      </c>
      <c r="E121" s="32" t="n">
        <f aca="false">Assumptions!$D$79*E102</f>
        <v>43556.10696215</v>
      </c>
      <c r="F121" s="32" t="n">
        <f aca="false">Assumptions!$D$79*F102</f>
        <v>39832.19019975</v>
      </c>
      <c r="G121" s="32" t="n">
        <f aca="false">Assumptions!$D$79*G102</f>
        <v>35984.81479295</v>
      </c>
      <c r="H121" s="32" t="n">
        <f aca="false">Assumptions!$D$79*H102</f>
        <v>32091.1126292</v>
      </c>
      <c r="I121" s="32" t="n">
        <f aca="false">Assumptions!$D$79*I102</f>
        <v>28185.8116247</v>
      </c>
      <c r="J121" s="32" t="n">
        <f aca="false">Assumptions!$D$79*J102</f>
        <v>24261.2929226</v>
      </c>
      <c r="K121" s="32" t="n">
        <f aca="false">Assumptions!$D$79*K102</f>
        <v>20282.90163615</v>
      </c>
      <c r="L121" s="32" t="n">
        <f aca="false">Assumptions!$D$79*L102</f>
        <v>16229.1450113</v>
      </c>
      <c r="M121" s="32" t="n">
        <f aca="false">Assumptions!$D$79*M102</f>
        <v>11875.66288075</v>
      </c>
      <c r="N121" s="32" t="n">
        <f aca="false">Assumptions!$D$79*N102</f>
        <v>7208.84058115001</v>
      </c>
      <c r="O121" s="32" t="n">
        <f aca="false">Assumptions!$D$79*O102</f>
        <v>2854.65855210001</v>
      </c>
      <c r="P121" s="32" t="n">
        <f aca="false">Assumptions!$D$79*P102</f>
        <v>1192.57898160001</v>
      </c>
      <c r="Q121" s="32" t="n">
        <f aca="false">Assumptions!$D$79*Q102</f>
        <v>0</v>
      </c>
      <c r="R121" s="32" t="n">
        <f aca="false">Assumptions!$D$79*R102</f>
        <v>0</v>
      </c>
      <c r="S121" s="32" t="n">
        <f aca="false">Assumptions!$D$79*S102</f>
        <v>0</v>
      </c>
    </row>
    <row r="122" customFormat="false" ht="14.25" hidden="false" customHeight="true" outlineLevel="0" collapsed="false">
      <c r="B122" s="8" t="s">
        <v>202</v>
      </c>
      <c r="C122" s="29" t="s">
        <v>111</v>
      </c>
      <c r="E122" s="61" t="n">
        <f aca="false">IF(E$6&lt;=Assumptions!$D$74,1/(1+Assumptions!E17),0)</f>
        <v>0.991443699044584</v>
      </c>
      <c r="F122" s="61" t="n">
        <f aca="false">IF(F$6&lt;=Assumptions!$D$74,E122/(1+Assumptions!F17),0)</f>
        <v>0.982127185428759</v>
      </c>
      <c r="G122" s="61" t="n">
        <f aca="false">IF(G$6&lt;=Assumptions!$D$74,F122/(1+Assumptions!G17),0)</f>
        <v>0.969802981191988</v>
      </c>
      <c r="H122" s="61" t="n">
        <f aca="false">IF(H$6&lt;=Assumptions!$D$74,G122/(1+Assumptions!H17),0)</f>
        <v>0.953878314357373</v>
      </c>
      <c r="I122" s="61" t="n">
        <f aca="false">IF(I$6&lt;=Assumptions!$D$74,H122/(1+Assumptions!I17),0)</f>
        <v>0.934671795970301</v>
      </c>
      <c r="J122" s="61" t="n">
        <f aca="false">IF(J$6&lt;=Assumptions!$D$74,I122/(1+Assumptions!J17),0)</f>
        <v>0.913643715985239</v>
      </c>
      <c r="K122" s="61" t="n">
        <f aca="false">IF(K$6&lt;=Assumptions!$D$74,J122/(1+Assumptions!K17),0)</f>
        <v>0.892035092205122</v>
      </c>
      <c r="L122" s="61" t="n">
        <f aca="false">IF(L$6&lt;=Assumptions!$D$74,K122/(1+Assumptions!L17),0)</f>
        <v>0.869986670320789</v>
      </c>
      <c r="M122" s="61" t="n">
        <f aca="false">IF(M$6&lt;=Assumptions!$D$74,L122/(1+Assumptions!M17),0)</f>
        <v>0.847983861292532</v>
      </c>
      <c r="N122" s="61" t="n">
        <f aca="false">IF(N$6&lt;=Assumptions!$D$74,M122/(1+Assumptions!N17),0)</f>
        <v>0.825419324376648</v>
      </c>
      <c r="O122" s="61" t="n">
        <f aca="false">IF(O$6&lt;=Assumptions!$D$74,N122/(1+Assumptions!O17),0)</f>
        <v>0.80320456013356</v>
      </c>
      <c r="P122" s="61" t="n">
        <f aca="false">IF(P$6&lt;=Assumptions!$D$74,O122/(1+Assumptions!P17),0)</f>
        <v>0.781587668675616</v>
      </c>
      <c r="Q122" s="61" t="n">
        <f aca="false">IF(Q$6&lt;=Assumptions!$D$74,P122/(1+Assumptions!Q17),0)</f>
        <v>0</v>
      </c>
      <c r="R122" s="61" t="n">
        <f aca="false">IF(R$6&lt;=Assumptions!$D$74,Q122/(1+Assumptions!R17),0)</f>
        <v>0</v>
      </c>
      <c r="S122" s="61" t="n">
        <f aca="false">IF(S$6&lt;=Assumptions!$D$74,R122/(1+Assumptions!S17),0)</f>
        <v>0</v>
      </c>
    </row>
    <row r="123" customFormat="false" ht="14.25" hidden="false" customHeight="true" outlineLevel="0" collapsed="false">
      <c r="B123" s="8" t="s">
        <v>203</v>
      </c>
      <c r="C123" s="29" t="s">
        <v>121</v>
      </c>
      <c r="E123" s="66" t="n">
        <f aca="false">E121*Assumptions!E17*E122</f>
        <v>372.67915961446</v>
      </c>
      <c r="F123" s="66" t="n">
        <f aca="false">F121*Assumptions!F17*F122</f>
        <v>371.097142344074</v>
      </c>
      <c r="G123" s="66" t="n">
        <f aca="false">G121*Assumptions!G17*G122</f>
        <v>443.484206930717</v>
      </c>
      <c r="H123" s="66" t="n">
        <f aca="false">H121*Assumptions!H17*H122</f>
        <v>511.040276972107</v>
      </c>
      <c r="I123" s="66" t="n">
        <f aca="false">I121*Assumptions!I17*I122</f>
        <v>541.351309224339</v>
      </c>
      <c r="J123" s="66" t="n">
        <f aca="false">J121*Assumptions!J17*J122</f>
        <v>510.168408117459</v>
      </c>
      <c r="K123" s="66" t="n">
        <f aca="false">K121*Assumptions!K17*K122</f>
        <v>438.285590624687</v>
      </c>
      <c r="L123" s="66" t="n">
        <f aca="false">L121*Assumptions!L17*L122</f>
        <v>357.827036031167</v>
      </c>
      <c r="M123" s="66" t="n">
        <f aca="false">M121*Assumptions!M17*M122</f>
        <v>261.2979424491</v>
      </c>
      <c r="N123" s="66" t="n">
        <f aca="false">N121*Assumptions!N17*N122</f>
        <v>162.664149414081</v>
      </c>
      <c r="O123" s="66" t="n">
        <f aca="false">O121*Assumptions!O17*O122</f>
        <v>63.4155667294158</v>
      </c>
      <c r="P123" s="66" t="n">
        <f aca="false">P121*Assumptions!P17*P122</f>
        <v>25.7798504002736</v>
      </c>
      <c r="Q123" s="66" t="n">
        <f aca="false">Q121*Assumptions!Q17*Q122</f>
        <v>0</v>
      </c>
      <c r="R123" s="66" t="n">
        <f aca="false">R121*Assumptions!R17*R122</f>
        <v>0</v>
      </c>
      <c r="S123" s="66" t="n">
        <f aca="false">S121*Assumptions!S17*S122</f>
        <v>0</v>
      </c>
    </row>
    <row r="124" customFormat="false" ht="14.25" hidden="false" customHeight="true" outlineLevel="0" collapsed="false">
      <c r="B124" s="8" t="s">
        <v>204</v>
      </c>
      <c r="C124" s="29" t="s">
        <v>121</v>
      </c>
      <c r="E124" s="66" t="n">
        <f aca="false">E121*E122</f>
        <v>43183.4278025355</v>
      </c>
      <c r="F124" s="66" t="n">
        <f aca="false">F121*F122</f>
        <v>39120.2768503435</v>
      </c>
      <c r="G124" s="66" t="n">
        <f aca="false">G121*G122</f>
        <v>34898.1806638445</v>
      </c>
      <c r="H124" s="66" t="n">
        <f aca="false">H121*H122</f>
        <v>30611.0164205939</v>
      </c>
      <c r="I124" s="66" t="n">
        <f aca="false">I121*I122</f>
        <v>26344.483172139</v>
      </c>
      <c r="J124" s="66" t="n">
        <f aca="false">J121*J122</f>
        <v>22166.1778204107</v>
      </c>
      <c r="K124" s="66" t="n">
        <f aca="false">K121*K122</f>
        <v>18093.0600311905</v>
      </c>
      <c r="L124" s="66" t="n">
        <f aca="false">L121*L122</f>
        <v>14119.1398305341</v>
      </c>
      <c r="M124" s="66" t="n">
        <f aca="false">M121*M122</f>
        <v>10070.3704650268</v>
      </c>
      <c r="N124" s="66" t="n">
        <f aca="false">N121*N122</f>
        <v>5950.31632203181</v>
      </c>
      <c r="O124" s="66" t="n">
        <f aca="false">O121*O122</f>
        <v>2292.874766671</v>
      </c>
      <c r="P124" s="66" t="n">
        <f aca="false">P121*P122</f>
        <v>932.105025940295</v>
      </c>
      <c r="Q124" s="66" t="n">
        <f aca="false">Q121*Q122</f>
        <v>0</v>
      </c>
      <c r="R124" s="66" t="n">
        <f aca="false">R121*R122</f>
        <v>0</v>
      </c>
      <c r="S124" s="66" t="n">
        <f aca="false">S121*S122</f>
        <v>0</v>
      </c>
    </row>
    <row r="125" customFormat="false" ht="17.25" hidden="false" customHeight="true" outlineLevel="0" collapsed="false">
      <c r="A125" s="24" t="n">
        <f aca="false">MAX($A$2:A124)+0.01</f>
        <v>2.05</v>
      </c>
      <c r="B125" s="24" t="s">
        <v>101</v>
      </c>
      <c r="C125" s="24"/>
      <c r="D125" s="24"/>
      <c r="E125" s="24"/>
      <c r="F125" s="24"/>
      <c r="G125" s="24"/>
      <c r="H125" s="24"/>
      <c r="I125" s="24"/>
      <c r="J125" s="24"/>
      <c r="K125" s="24"/>
      <c r="L125" s="24"/>
      <c r="M125" s="24"/>
      <c r="N125" s="24"/>
      <c r="O125" s="24"/>
      <c r="P125" s="24"/>
      <c r="Q125" s="24"/>
      <c r="R125" s="24"/>
      <c r="S125" s="24"/>
    </row>
    <row r="126" customFormat="false" ht="15" hidden="false" customHeight="true" outlineLevel="0" collapsed="false"/>
    <row r="127" customFormat="false" ht="14.25" hidden="false" customHeight="true" outlineLevel="0" collapsed="false">
      <c r="B127" s="8" t="s">
        <v>168</v>
      </c>
      <c r="C127" s="29" t="s">
        <v>121</v>
      </c>
      <c r="E127" s="32" t="n">
        <f aca="false">E64</f>
        <v>8850.87842039801</v>
      </c>
      <c r="F127" s="32" t="n">
        <f aca="false">F64</f>
        <v>8917.21351915392</v>
      </c>
      <c r="G127" s="32" t="n">
        <f aca="false">G64</f>
        <v>8947.59736593092</v>
      </c>
      <c r="H127" s="32" t="n">
        <f aca="false">H64</f>
        <v>8897.08062591627</v>
      </c>
      <c r="I127" s="32" t="n">
        <f aca="false">I64</f>
        <v>8809.92255280811</v>
      </c>
      <c r="J127" s="32" t="n">
        <f aca="false">J64</f>
        <v>8686.76583591644</v>
      </c>
      <c r="K127" s="32" t="n">
        <f aca="false">K64</f>
        <v>8528.74059796407</v>
      </c>
      <c r="L127" s="32" t="n">
        <f aca="false">L64</f>
        <v>8875.90775543854</v>
      </c>
      <c r="M127" s="32" t="n">
        <f aca="false">M64</f>
        <v>9115.34739707605</v>
      </c>
      <c r="N127" s="32" t="n">
        <f aca="false">N64</f>
        <v>7863.32718862893</v>
      </c>
      <c r="O127" s="32" t="n">
        <f aca="false">O64</f>
        <v>2224.35144706998</v>
      </c>
      <c r="P127" s="32" t="n">
        <f aca="false">P64</f>
        <v>1896.43205208315</v>
      </c>
      <c r="Q127" s="32" t="n">
        <f aca="false">Q64</f>
        <v>1548.11965916192</v>
      </c>
      <c r="R127" s="32" t="n">
        <f aca="false">R64</f>
        <v>1182.60962014306</v>
      </c>
      <c r="S127" s="32" t="n">
        <f aca="false">S64</f>
        <v>803.141116436907</v>
      </c>
    </row>
    <row r="128" customFormat="false" ht="14.25" hidden="false" customHeight="true" outlineLevel="0" collapsed="false">
      <c r="B128" s="8" t="s">
        <v>205</v>
      </c>
      <c r="C128" s="29" t="s">
        <v>121</v>
      </c>
      <c r="E128" s="32" t="n">
        <f aca="false">E67</f>
        <v>4500</v>
      </c>
      <c r="F128" s="32" t="n">
        <f aca="false">F67</f>
        <v>4500</v>
      </c>
      <c r="G128" s="32" t="n">
        <f aca="false">G67</f>
        <v>4500</v>
      </c>
      <c r="H128" s="32" t="n">
        <f aca="false">H67</f>
        <v>4500</v>
      </c>
      <c r="I128" s="32" t="n">
        <f aca="false">I67</f>
        <v>4500</v>
      </c>
      <c r="J128" s="32" t="n">
        <f aca="false">J67</f>
        <v>4500</v>
      </c>
      <c r="K128" s="32" t="n">
        <f aca="false">K67</f>
        <v>4500</v>
      </c>
      <c r="L128" s="32" t="n">
        <f aca="false">L67</f>
        <v>4500</v>
      </c>
      <c r="M128" s="32" t="n">
        <f aca="false">M67</f>
        <v>4500</v>
      </c>
      <c r="N128" s="32" t="n">
        <f aca="false">N67</f>
        <v>4500</v>
      </c>
      <c r="O128" s="32" t="n">
        <f aca="false">O67</f>
        <v>4500</v>
      </c>
      <c r="P128" s="32" t="n">
        <f aca="false">P67</f>
        <v>4500</v>
      </c>
      <c r="Q128" s="32" t="n">
        <f aca="false">Q67</f>
        <v>4500</v>
      </c>
      <c r="R128" s="32" t="n">
        <f aca="false">R67</f>
        <v>4500</v>
      </c>
      <c r="S128" s="32" t="n">
        <f aca="false">S67</f>
        <v>4500</v>
      </c>
    </row>
    <row r="129" customFormat="false" ht="14.25" hidden="false" customHeight="true" outlineLevel="0" collapsed="false">
      <c r="B129" s="8" t="s">
        <v>206</v>
      </c>
      <c r="C129" s="29" t="s">
        <v>121</v>
      </c>
      <c r="E129" s="32" t="n">
        <f aca="false">E103</f>
        <v>1979.50428581257</v>
      </c>
      <c r="F129" s="32" t="n">
        <f aca="false">F103</f>
        <v>1850.37188039362</v>
      </c>
      <c r="G129" s="32" t="n">
        <f aca="false">G103</f>
        <v>1808.04416342762</v>
      </c>
      <c r="H129" s="32" t="n">
        <f aca="false">H103</f>
        <v>1762.92158527442</v>
      </c>
      <c r="I129" s="32" t="n">
        <f aca="false">I103</f>
        <v>1676.19178024638</v>
      </c>
      <c r="J129" s="32" t="n">
        <f aca="false">J103</f>
        <v>1513.20891370148</v>
      </c>
      <c r="K129" s="32" t="n">
        <f aca="false">K103</f>
        <v>1293.90503360153</v>
      </c>
      <c r="L129" s="32" t="n">
        <f aca="false">L103</f>
        <v>1056.67775976528</v>
      </c>
      <c r="M129" s="32" t="n">
        <f aca="false">M103</f>
        <v>781.658961043867</v>
      </c>
      <c r="N129" s="32" t="n">
        <f aca="false">N103</f>
        <v>486.274963523665</v>
      </c>
      <c r="O129" s="32" t="n">
        <f aca="false">O103</f>
        <v>193.638767230638</v>
      </c>
      <c r="P129" s="32" t="n">
        <f aca="false">P103</f>
        <v>80.8956726724161</v>
      </c>
      <c r="Q129" s="32" t="n">
        <f aca="false">Q103</f>
        <v>0</v>
      </c>
      <c r="R129" s="32" t="n">
        <f aca="false">R103</f>
        <v>0</v>
      </c>
      <c r="S129" s="32" t="n">
        <f aca="false">S103</f>
        <v>0</v>
      </c>
    </row>
    <row r="130" customFormat="false" ht="14.25" hidden="false" customHeight="true" outlineLevel="0" collapsed="false">
      <c r="B130" s="8" t="s">
        <v>207</v>
      </c>
      <c r="C130" s="29" t="s">
        <v>121</v>
      </c>
      <c r="E130" s="32" t="n">
        <f aca="false">E107</f>
        <v>85.4041312983334</v>
      </c>
      <c r="F130" s="32" t="n">
        <f aca="false">F107</f>
        <v>85.4041312983334</v>
      </c>
      <c r="G130" s="32" t="n">
        <f aca="false">G107</f>
        <v>85.4041312983334</v>
      </c>
      <c r="H130" s="32" t="n">
        <f aca="false">H107</f>
        <v>85.4041312983334</v>
      </c>
      <c r="I130" s="32" t="n">
        <f aca="false">I107</f>
        <v>85.4041312983334</v>
      </c>
      <c r="J130" s="32" t="n">
        <f aca="false">J107</f>
        <v>85.4041312983334</v>
      </c>
      <c r="K130" s="32" t="n">
        <f aca="false">K107</f>
        <v>85.4041312983334</v>
      </c>
      <c r="L130" s="32" t="n">
        <f aca="false">L107</f>
        <v>85.4041312983334</v>
      </c>
      <c r="M130" s="32" t="n">
        <f aca="false">M107</f>
        <v>85.4041312983334</v>
      </c>
      <c r="N130" s="32" t="n">
        <f aca="false">N107</f>
        <v>85.4041312983334</v>
      </c>
      <c r="O130" s="32" t="n">
        <f aca="false">O107</f>
        <v>85.4041312983334</v>
      </c>
      <c r="P130" s="32" t="n">
        <f aca="false">P107</f>
        <v>85.4041312983334</v>
      </c>
      <c r="Q130" s="32" t="n">
        <f aca="false">Q107</f>
        <v>0</v>
      </c>
      <c r="R130" s="32" t="n">
        <f aca="false">R107</f>
        <v>0</v>
      </c>
      <c r="S130" s="32" t="n">
        <f aca="false">S107</f>
        <v>0</v>
      </c>
    </row>
    <row r="131" customFormat="false" ht="14.25" hidden="false" customHeight="true" outlineLevel="0" collapsed="false">
      <c r="B131" s="8" t="s">
        <v>208</v>
      </c>
      <c r="C131" s="29" t="s">
        <v>121</v>
      </c>
      <c r="D131" s="81"/>
      <c r="E131" s="76" t="n">
        <f aca="false">SUM(E129:E130)</f>
        <v>2064.9084171109</v>
      </c>
      <c r="F131" s="76" t="n">
        <f aca="false">SUM(F129:F130)</f>
        <v>1935.77601169195</v>
      </c>
      <c r="G131" s="76" t="n">
        <f aca="false">SUM(G129:G130)</f>
        <v>1893.44829472596</v>
      </c>
      <c r="H131" s="76" t="n">
        <f aca="false">SUM(H129:H130)</f>
        <v>1848.32571657275</v>
      </c>
      <c r="I131" s="76" t="n">
        <f aca="false">SUM(I129:I130)</f>
        <v>1761.59591154471</v>
      </c>
      <c r="J131" s="76" t="n">
        <f aca="false">SUM(J129:J130)</f>
        <v>1598.61304499982</v>
      </c>
      <c r="K131" s="76" t="n">
        <f aca="false">SUM(K129:K130)</f>
        <v>1379.30916489987</v>
      </c>
      <c r="L131" s="76" t="n">
        <f aca="false">SUM(L129:L130)</f>
        <v>1142.08189106361</v>
      </c>
      <c r="M131" s="76" t="n">
        <f aca="false">SUM(M129:M130)</f>
        <v>867.063092342201</v>
      </c>
      <c r="N131" s="76" t="n">
        <f aca="false">SUM(N129:N130)</f>
        <v>571.679094821998</v>
      </c>
      <c r="O131" s="76" t="n">
        <f aca="false">SUM(O129:O130)</f>
        <v>279.042898528971</v>
      </c>
      <c r="P131" s="76" t="n">
        <f aca="false">SUM(P129:P130)</f>
        <v>166.299803970749</v>
      </c>
      <c r="Q131" s="76" t="n">
        <f aca="false">SUM(Q129:Q130)</f>
        <v>0</v>
      </c>
      <c r="R131" s="76" t="n">
        <f aca="false">SUM(R129:R130)</f>
        <v>0</v>
      </c>
      <c r="S131" s="76" t="n">
        <f aca="false">SUM(S129:S130)</f>
        <v>0</v>
      </c>
    </row>
    <row r="133" customFormat="false" ht="14.25" hidden="false" customHeight="true" outlineLevel="0" collapsed="false">
      <c r="B133" s="8" t="s">
        <v>209</v>
      </c>
      <c r="C133" s="29" t="s">
        <v>121</v>
      </c>
      <c r="E133" s="32" t="n">
        <f aca="false">Assumptions!$D$70*MAX(E127,0)</f>
        <v>2655.2635261194</v>
      </c>
      <c r="F133" s="32" t="n">
        <f aca="false">Assumptions!$D$70*MAX(F127,0)</f>
        <v>2675.16405574617</v>
      </c>
      <c r="G133" s="32" t="n">
        <f aca="false">Assumptions!$D$70*MAX(G127,0)</f>
        <v>2684.27920977928</v>
      </c>
      <c r="H133" s="32" t="n">
        <f aca="false">Assumptions!$D$70*MAX(H127,0)</f>
        <v>2669.12418777488</v>
      </c>
      <c r="I133" s="32" t="n">
        <f aca="false">Assumptions!$D$70*MAX(I127,0)</f>
        <v>2642.97676584243</v>
      </c>
      <c r="J133" s="32" t="n">
        <f aca="false">Assumptions!$D$70*MAX(J127,0)</f>
        <v>2606.02975077493</v>
      </c>
      <c r="K133" s="32" t="n">
        <f aca="false">Assumptions!$D$70*MAX(K127,0)</f>
        <v>2558.62217938922</v>
      </c>
      <c r="L133" s="32" t="n">
        <f aca="false">Assumptions!$D$70*MAX(L127,0)</f>
        <v>2662.77232663156</v>
      </c>
      <c r="M133" s="32" t="n">
        <f aca="false">Assumptions!$D$70*MAX(M127,0)</f>
        <v>2734.60421912281</v>
      </c>
      <c r="N133" s="32" t="n">
        <f aca="false">Assumptions!$D$70*MAX(N127,0)</f>
        <v>2358.99815658868</v>
      </c>
      <c r="O133" s="32" t="n">
        <f aca="false">Assumptions!$D$70*MAX(O127,0)</f>
        <v>667.305434120993</v>
      </c>
      <c r="P133" s="32" t="n">
        <f aca="false">Assumptions!$D$70*MAX(P127,0)</f>
        <v>568.929615624944</v>
      </c>
      <c r="Q133" s="32" t="n">
        <f aca="false">Assumptions!$D$70*MAX(Q127,0)</f>
        <v>464.435897748576</v>
      </c>
      <c r="R133" s="32" t="n">
        <f aca="false">Assumptions!$D$70*MAX(R127,0)</f>
        <v>354.782886042918</v>
      </c>
      <c r="S133" s="32" t="n">
        <f aca="false">Assumptions!$D$70*MAX(S127,0)</f>
        <v>240.942334931072</v>
      </c>
    </row>
    <row r="134" customFormat="false" ht="14.25" hidden="false" customHeight="true" outlineLevel="0" collapsed="false">
      <c r="B134" s="8" t="s">
        <v>210</v>
      </c>
      <c r="C134" s="29" t="s">
        <v>121</v>
      </c>
      <c r="E134" s="32" t="n">
        <f aca="false">D139</f>
        <v>0</v>
      </c>
      <c r="F134" s="32" t="n">
        <f aca="false">E139</f>
        <v>0</v>
      </c>
      <c r="G134" s="32" t="n">
        <f aca="false">F139</f>
        <v>0</v>
      </c>
      <c r="H134" s="32" t="n">
        <f aca="false">G139</f>
        <v>0</v>
      </c>
      <c r="I134" s="32" t="n">
        <f aca="false">H139</f>
        <v>0</v>
      </c>
      <c r="J134" s="32" t="n">
        <f aca="false">I139</f>
        <v>0</v>
      </c>
      <c r="K134" s="32" t="n">
        <f aca="false">J139</f>
        <v>0</v>
      </c>
      <c r="L134" s="32" t="n">
        <f aca="false">K139</f>
        <v>0</v>
      </c>
      <c r="M134" s="32" t="n">
        <f aca="false">L139</f>
        <v>0</v>
      </c>
      <c r="N134" s="32" t="n">
        <f aca="false">M139</f>
        <v>0</v>
      </c>
      <c r="O134" s="32" t="n">
        <f aca="false">N139</f>
        <v>0</v>
      </c>
      <c r="P134" s="32" t="n">
        <f aca="false">O139</f>
        <v>0</v>
      </c>
      <c r="Q134" s="32" t="n">
        <f aca="false">P139</f>
        <v>0</v>
      </c>
      <c r="R134" s="32" t="n">
        <f aca="false">Q139</f>
        <v>0</v>
      </c>
      <c r="S134" s="32" t="n">
        <f aca="false">R139</f>
        <v>0</v>
      </c>
    </row>
    <row r="135" customFormat="false" ht="14.25" hidden="false" customHeight="true" outlineLevel="0" collapsed="false">
      <c r="B135" s="8" t="s">
        <v>211</v>
      </c>
      <c r="C135" s="29" t="s">
        <v>121</v>
      </c>
      <c r="E135" s="32" t="n">
        <f aca="false">MIN(E131,E133)</f>
        <v>2064.9084171109</v>
      </c>
      <c r="F135" s="32" t="n">
        <f aca="false">MIN(F131,F133)</f>
        <v>1935.77601169195</v>
      </c>
      <c r="G135" s="32" t="n">
        <f aca="false">MIN(G131,G133)</f>
        <v>1893.44829472596</v>
      </c>
      <c r="H135" s="32" t="n">
        <f aca="false">MIN(H131,H133)</f>
        <v>1848.32571657275</v>
      </c>
      <c r="I135" s="32" t="n">
        <f aca="false">MIN(I131,I133)</f>
        <v>1761.59591154471</v>
      </c>
      <c r="J135" s="32" t="n">
        <f aca="false">MIN(J131,J133)</f>
        <v>1598.61304499982</v>
      </c>
      <c r="K135" s="32" t="n">
        <f aca="false">MIN(K131,K133)</f>
        <v>1379.30916489987</v>
      </c>
      <c r="L135" s="32" t="n">
        <f aca="false">MIN(L131,L133)</f>
        <v>1142.08189106361</v>
      </c>
      <c r="M135" s="32" t="n">
        <f aca="false">MIN(M131,M133)</f>
        <v>867.063092342201</v>
      </c>
      <c r="N135" s="32" t="n">
        <f aca="false">MIN(N131,N133)</f>
        <v>571.679094821998</v>
      </c>
      <c r="O135" s="32" t="n">
        <f aca="false">MIN(O131,O133)</f>
        <v>279.042898528971</v>
      </c>
      <c r="P135" s="32" t="n">
        <f aca="false">MIN(P131,P133)</f>
        <v>166.299803970749</v>
      </c>
      <c r="Q135" s="32" t="n">
        <f aca="false">MIN(Q131,Q133)</f>
        <v>0</v>
      </c>
      <c r="R135" s="32" t="n">
        <f aca="false">MIN(R131,R133)</f>
        <v>0</v>
      </c>
      <c r="S135" s="32" t="n">
        <f aca="false">MIN(S131,S133)</f>
        <v>0</v>
      </c>
    </row>
    <row r="136" customFormat="false" ht="14.25" hidden="false" customHeight="true" outlineLevel="0" collapsed="false">
      <c r="B136" s="8" t="s">
        <v>212</v>
      </c>
      <c r="C136" s="29" t="s">
        <v>121</v>
      </c>
      <c r="E136" s="32" t="n">
        <f aca="false">MAX(E133-E131,0)</f>
        <v>590.355109008502</v>
      </c>
      <c r="F136" s="32" t="n">
        <f aca="false">MAX(F133-F131,0)</f>
        <v>739.388044054223</v>
      </c>
      <c r="G136" s="32" t="n">
        <f aca="false">MAX(G133-G131,0)</f>
        <v>790.830915053318</v>
      </c>
      <c r="H136" s="32" t="n">
        <f aca="false">MAX(H133-H131,0)</f>
        <v>820.798471202127</v>
      </c>
      <c r="I136" s="32" t="n">
        <f aca="false">MAX(I133-I131,0)</f>
        <v>881.380854297723</v>
      </c>
      <c r="J136" s="32" t="n">
        <f aca="false">MAX(J133-J131,0)</f>
        <v>1007.41670577511</v>
      </c>
      <c r="K136" s="32" t="n">
        <f aca="false">MAX(K133-K131,0)</f>
        <v>1179.31301448936</v>
      </c>
      <c r="L136" s="32" t="n">
        <f aca="false">MAX(L133-L131,0)</f>
        <v>1520.69043556795</v>
      </c>
      <c r="M136" s="32" t="n">
        <f aca="false">MAX(M133-M131,0)</f>
        <v>1867.54112678061</v>
      </c>
      <c r="N136" s="32" t="n">
        <f aca="false">MAX(N133-N131,0)</f>
        <v>1787.31906176668</v>
      </c>
      <c r="O136" s="32" t="n">
        <f aca="false">MAX(O133-O131,0)</f>
        <v>388.262535592022</v>
      </c>
      <c r="P136" s="32" t="n">
        <f aca="false">MAX(P133-P131,0)</f>
        <v>402.629811654194</v>
      </c>
      <c r="Q136" s="32" t="n">
        <f aca="false">MAX(Q133-Q131,0)</f>
        <v>464.435897748576</v>
      </c>
      <c r="R136" s="32" t="n">
        <f aca="false">MAX(R133-R131,0)</f>
        <v>354.782886042918</v>
      </c>
      <c r="S136" s="32" t="n">
        <f aca="false">MAX(S133-S131,0)</f>
        <v>240.942334931072</v>
      </c>
    </row>
    <row r="137" customFormat="false" ht="14.25" hidden="false" customHeight="true" outlineLevel="0" collapsed="false">
      <c r="B137" s="8" t="s">
        <v>213</v>
      </c>
      <c r="C137" s="29" t="s">
        <v>121</v>
      </c>
      <c r="E137" s="32" t="n">
        <f aca="false">MIN(E134,E136)</f>
        <v>0</v>
      </c>
      <c r="F137" s="32" t="n">
        <f aca="false">MIN(F134,F136)</f>
        <v>0</v>
      </c>
      <c r="G137" s="32" t="n">
        <f aca="false">MIN(G134,G136)</f>
        <v>0</v>
      </c>
      <c r="H137" s="32" t="n">
        <f aca="false">MIN(H134,H136)</f>
        <v>0</v>
      </c>
      <c r="I137" s="32" t="n">
        <f aca="false">MIN(I134,I136)</f>
        <v>0</v>
      </c>
      <c r="J137" s="32" t="n">
        <f aca="false">MIN(J134,J136)</f>
        <v>0</v>
      </c>
      <c r="K137" s="32" t="n">
        <f aca="false">MIN(K134,K136)</f>
        <v>0</v>
      </c>
      <c r="L137" s="32" t="n">
        <f aca="false">MIN(L134,L136)</f>
        <v>0</v>
      </c>
      <c r="M137" s="32" t="n">
        <f aca="false">MIN(M134,M136)</f>
        <v>0</v>
      </c>
      <c r="N137" s="32" t="n">
        <f aca="false">MIN(N134,N136)</f>
        <v>0</v>
      </c>
      <c r="O137" s="32" t="n">
        <f aca="false">MIN(O134,O136)</f>
        <v>0</v>
      </c>
      <c r="P137" s="32" t="n">
        <f aca="false">MIN(P134,P136)</f>
        <v>0</v>
      </c>
      <c r="Q137" s="32" t="n">
        <f aca="false">MIN(Q134,Q136)</f>
        <v>0</v>
      </c>
      <c r="R137" s="32" t="n">
        <f aca="false">MIN(R134,R136)</f>
        <v>0</v>
      </c>
      <c r="S137" s="32" t="n">
        <f aca="false">MIN(S134,S136)</f>
        <v>0</v>
      </c>
    </row>
    <row r="138" customFormat="false" ht="14.25" hidden="false" customHeight="true" outlineLevel="0" collapsed="false">
      <c r="B138" s="8" t="s">
        <v>214</v>
      </c>
      <c r="C138" s="29" t="s">
        <v>121</v>
      </c>
      <c r="E138" s="77" t="n">
        <f aca="false">E135+E137</f>
        <v>2064.9084171109</v>
      </c>
      <c r="F138" s="77" t="n">
        <f aca="false">F135+F137</f>
        <v>1935.77601169195</v>
      </c>
      <c r="G138" s="77" t="n">
        <f aca="false">G135+G137</f>
        <v>1893.44829472596</v>
      </c>
      <c r="H138" s="77" t="n">
        <f aca="false">H135+H137</f>
        <v>1848.32571657275</v>
      </c>
      <c r="I138" s="77" t="n">
        <f aca="false">I135+I137</f>
        <v>1761.59591154471</v>
      </c>
      <c r="J138" s="77" t="n">
        <f aca="false">J135+J137</f>
        <v>1598.61304499982</v>
      </c>
      <c r="K138" s="77" t="n">
        <f aca="false">K135+K137</f>
        <v>1379.30916489987</v>
      </c>
      <c r="L138" s="77" t="n">
        <f aca="false">L135+L137</f>
        <v>1142.08189106361</v>
      </c>
      <c r="M138" s="77" t="n">
        <f aca="false">M135+M137</f>
        <v>867.063092342201</v>
      </c>
      <c r="N138" s="77" t="n">
        <f aca="false">N135+N137</f>
        <v>571.679094821998</v>
      </c>
      <c r="O138" s="77" t="n">
        <f aca="false">O135+O137</f>
        <v>279.042898528971</v>
      </c>
      <c r="P138" s="77" t="n">
        <f aca="false">P135+P137</f>
        <v>166.299803970749</v>
      </c>
      <c r="Q138" s="77" t="n">
        <f aca="false">Q135+Q137</f>
        <v>0</v>
      </c>
      <c r="R138" s="77" t="n">
        <f aca="false">R135+R137</f>
        <v>0</v>
      </c>
      <c r="S138" s="77" t="n">
        <f aca="false">S135+S137</f>
        <v>0</v>
      </c>
    </row>
    <row r="139" customFormat="false" ht="14.25" hidden="false" customHeight="true" outlineLevel="0" collapsed="false">
      <c r="B139" s="8" t="s">
        <v>215</v>
      </c>
      <c r="C139" s="29" t="s">
        <v>121</v>
      </c>
      <c r="D139" s="47" t="n">
        <v>0</v>
      </c>
      <c r="E139" s="32" t="n">
        <f aca="false">E134+MAX(E131-E133,0)-E137</f>
        <v>0</v>
      </c>
      <c r="F139" s="32" t="n">
        <f aca="false">F134+MAX(F131-F133,0)-F137</f>
        <v>0</v>
      </c>
      <c r="G139" s="32" t="n">
        <f aca="false">G134+MAX(G131-G133,0)-G137</f>
        <v>0</v>
      </c>
      <c r="H139" s="32" t="n">
        <f aca="false">H134+MAX(H131-H133,0)-H137</f>
        <v>0</v>
      </c>
      <c r="I139" s="32" t="n">
        <f aca="false">I134+MAX(I131-I133,0)-I137</f>
        <v>0</v>
      </c>
      <c r="J139" s="32" t="n">
        <f aca="false">J134+MAX(J131-J133,0)-J137</f>
        <v>0</v>
      </c>
      <c r="K139" s="32" t="n">
        <f aca="false">K134+MAX(K131-K133,0)-K137</f>
        <v>0</v>
      </c>
      <c r="L139" s="32" t="n">
        <f aca="false">L134+MAX(L131-L133,0)-L137</f>
        <v>0</v>
      </c>
      <c r="M139" s="32" t="n">
        <f aca="false">M134+MAX(M131-M133,0)-M137</f>
        <v>0</v>
      </c>
      <c r="N139" s="32" t="n">
        <f aca="false">N134+MAX(N131-N133,0)-N137</f>
        <v>0</v>
      </c>
      <c r="O139" s="32" t="n">
        <f aca="false">O134+MAX(O131-O133,0)-O137</f>
        <v>0</v>
      </c>
      <c r="P139" s="32" t="n">
        <f aca="false">P134+MAX(P131-P133,0)-P137</f>
        <v>0</v>
      </c>
      <c r="Q139" s="32" t="n">
        <f aca="false">Q134+MAX(Q131-Q133,0)-Q137</f>
        <v>0</v>
      </c>
      <c r="R139" s="32" t="n">
        <f aca="false">R134+MAX(R131-R133,0)-R137</f>
        <v>0</v>
      </c>
      <c r="S139" s="32" t="n">
        <f aca="false">S134+MAX(S131-S133,0)-S137</f>
        <v>0</v>
      </c>
    </row>
    <row r="141" customFormat="false" ht="14.25" hidden="false" customHeight="true" outlineLevel="0" collapsed="false">
      <c r="B141" s="8" t="s">
        <v>216</v>
      </c>
      <c r="C141" s="29" t="s">
        <v>121</v>
      </c>
      <c r="E141" s="32" t="n">
        <f aca="false">E127-E128-E138</f>
        <v>2285.97000328711</v>
      </c>
      <c r="F141" s="32" t="n">
        <f aca="false">F127-F128-F138</f>
        <v>2481.43750746197</v>
      </c>
      <c r="G141" s="32" t="n">
        <f aca="false">G127-G128-G138</f>
        <v>2554.14907120496</v>
      </c>
      <c r="H141" s="32" t="n">
        <f aca="false">H127-H128-H138</f>
        <v>2548.75490934352</v>
      </c>
      <c r="I141" s="32" t="n">
        <f aca="false">I127-I128-I138</f>
        <v>2548.3266412634</v>
      </c>
      <c r="J141" s="32" t="n">
        <f aca="false">J127-J128-J138</f>
        <v>2588.15279091662</v>
      </c>
      <c r="K141" s="32" t="n">
        <f aca="false">K127-K128-K138</f>
        <v>2649.43143306421</v>
      </c>
      <c r="L141" s="32" t="n">
        <f aca="false">L127-L128-L138</f>
        <v>3233.82586437493</v>
      </c>
      <c r="M141" s="32" t="n">
        <f aca="false">M127-M128-M138</f>
        <v>3748.28430473385</v>
      </c>
      <c r="N141" s="32" t="n">
        <f aca="false">N127-N128-N138</f>
        <v>2791.64809380693</v>
      </c>
      <c r="O141" s="32" t="n">
        <f aca="false">O127-O128-O138</f>
        <v>-2554.69145145899</v>
      </c>
      <c r="P141" s="32" t="n">
        <f aca="false">P127-P128-P138</f>
        <v>-2769.8677518876</v>
      </c>
      <c r="Q141" s="32" t="n">
        <f aca="false">Q127-Q128-Q138</f>
        <v>-2951.88034083808</v>
      </c>
      <c r="R141" s="32" t="n">
        <f aca="false">R127-R128-R138</f>
        <v>-3317.39037985694</v>
      </c>
      <c r="S141" s="32" t="n">
        <f aca="false">S127-S128-S138</f>
        <v>-3696.85888356309</v>
      </c>
    </row>
    <row r="142" customFormat="false" ht="14.25" hidden="false" customHeight="true" outlineLevel="0" collapsed="false">
      <c r="B142" s="8" t="s">
        <v>217</v>
      </c>
      <c r="C142" s="29" t="s">
        <v>121</v>
      </c>
      <c r="E142" s="32" t="n">
        <f aca="false">D144</f>
        <v>0</v>
      </c>
      <c r="F142" s="32" t="n">
        <f aca="false">E144</f>
        <v>0</v>
      </c>
      <c r="G142" s="32" t="n">
        <f aca="false">F144</f>
        <v>0</v>
      </c>
      <c r="H142" s="32" t="n">
        <f aca="false">G144</f>
        <v>0</v>
      </c>
      <c r="I142" s="32" t="n">
        <f aca="false">H144</f>
        <v>0</v>
      </c>
      <c r="J142" s="32" t="n">
        <f aca="false">I144</f>
        <v>0</v>
      </c>
      <c r="K142" s="32" t="n">
        <f aca="false">J144</f>
        <v>0</v>
      </c>
      <c r="L142" s="32" t="n">
        <f aca="false">K144</f>
        <v>0</v>
      </c>
      <c r="M142" s="32" t="n">
        <f aca="false">L144</f>
        <v>0</v>
      </c>
      <c r="N142" s="32" t="n">
        <f aca="false">M144</f>
        <v>0</v>
      </c>
      <c r="O142" s="32" t="n">
        <f aca="false">N144</f>
        <v>0</v>
      </c>
      <c r="P142" s="32" t="n">
        <f aca="false">O144</f>
        <v>2554.69145145899</v>
      </c>
      <c r="Q142" s="32" t="n">
        <f aca="false">P144</f>
        <v>5324.5592033466</v>
      </c>
      <c r="R142" s="32" t="n">
        <f aca="false">Q144</f>
        <v>8276.43954418468</v>
      </c>
      <c r="S142" s="32" t="n">
        <f aca="false">R144</f>
        <v>11593.8299240416</v>
      </c>
    </row>
    <row r="143" customFormat="false" ht="14.25" hidden="false" customHeight="true" outlineLevel="0" collapsed="false">
      <c r="B143" s="8" t="s">
        <v>218</v>
      </c>
      <c r="C143" s="29" t="s">
        <v>121</v>
      </c>
      <c r="E143" s="32" t="n">
        <f aca="false">MAX(E141-E142,0)</f>
        <v>2285.97000328711</v>
      </c>
      <c r="F143" s="32" t="n">
        <f aca="false">MAX(F141-F142,0)</f>
        <v>2481.43750746197</v>
      </c>
      <c r="G143" s="32" t="n">
        <f aca="false">MAX(G141-G142,0)</f>
        <v>2554.14907120496</v>
      </c>
      <c r="H143" s="32" t="n">
        <f aca="false">MAX(H141-H142,0)</f>
        <v>2548.75490934352</v>
      </c>
      <c r="I143" s="32" t="n">
        <f aca="false">MAX(I141-I142,0)</f>
        <v>2548.3266412634</v>
      </c>
      <c r="J143" s="32" t="n">
        <f aca="false">MAX(J141-J142,0)</f>
        <v>2588.15279091662</v>
      </c>
      <c r="K143" s="32" t="n">
        <f aca="false">MAX(K141-K142,0)</f>
        <v>2649.43143306421</v>
      </c>
      <c r="L143" s="32" t="n">
        <f aca="false">MAX(L141-L142,0)</f>
        <v>3233.82586437493</v>
      </c>
      <c r="M143" s="32" t="n">
        <f aca="false">MAX(M141-M142,0)</f>
        <v>3748.28430473385</v>
      </c>
      <c r="N143" s="32" t="n">
        <f aca="false">MAX(N141-N142,0)</f>
        <v>2791.64809380693</v>
      </c>
      <c r="O143" s="32" t="n">
        <f aca="false">MAX(O141-O142,0)</f>
        <v>0</v>
      </c>
      <c r="P143" s="32" t="n">
        <f aca="false">MAX(P141-P142,0)</f>
        <v>0</v>
      </c>
      <c r="Q143" s="32" t="n">
        <f aca="false">MAX(Q141-Q142,0)</f>
        <v>0</v>
      </c>
      <c r="R143" s="32" t="n">
        <f aca="false">MAX(R141-R142,0)</f>
        <v>0</v>
      </c>
      <c r="S143" s="32" t="n">
        <f aca="false">MAX(S141-S142,0)</f>
        <v>0</v>
      </c>
    </row>
    <row r="144" customFormat="false" ht="14.25" hidden="false" customHeight="true" outlineLevel="0" collapsed="false">
      <c r="B144" s="8" t="s">
        <v>219</v>
      </c>
      <c r="C144" s="29" t="s">
        <v>121</v>
      </c>
      <c r="D144" s="47" t="n">
        <v>0</v>
      </c>
      <c r="E144" s="32" t="n">
        <f aca="false">MAX(E142-E141,0)</f>
        <v>0</v>
      </c>
      <c r="F144" s="32" t="n">
        <f aca="false">MAX(F142-F141,0)</f>
        <v>0</v>
      </c>
      <c r="G144" s="32" t="n">
        <f aca="false">MAX(G142-G141,0)</f>
        <v>0</v>
      </c>
      <c r="H144" s="32" t="n">
        <f aca="false">MAX(H142-H141,0)</f>
        <v>0</v>
      </c>
      <c r="I144" s="32" t="n">
        <f aca="false">MAX(I142-I141,0)</f>
        <v>0</v>
      </c>
      <c r="J144" s="32" t="n">
        <f aca="false">MAX(J142-J141,0)</f>
        <v>0</v>
      </c>
      <c r="K144" s="32" t="n">
        <f aca="false">MAX(K142-K141,0)</f>
        <v>0</v>
      </c>
      <c r="L144" s="32" t="n">
        <f aca="false">MAX(L142-L141,0)</f>
        <v>0</v>
      </c>
      <c r="M144" s="32" t="n">
        <f aca="false">MAX(M142-M141,0)</f>
        <v>0</v>
      </c>
      <c r="N144" s="32" t="n">
        <f aca="false">MAX(N142-N141,0)</f>
        <v>0</v>
      </c>
      <c r="O144" s="32" t="n">
        <f aca="false">MAX(O142-O141,0)</f>
        <v>2554.69145145899</v>
      </c>
      <c r="P144" s="32" t="n">
        <f aca="false">MAX(P142-P141,0)</f>
        <v>5324.5592033466</v>
      </c>
      <c r="Q144" s="32" t="n">
        <f aca="false">MAX(Q142-Q141,0)</f>
        <v>8276.43954418468</v>
      </c>
      <c r="R144" s="32" t="n">
        <f aca="false">MAX(R142-R141,0)</f>
        <v>11593.8299240416</v>
      </c>
      <c r="S144" s="32" t="n">
        <f aca="false">MAX(S142-S141,0)</f>
        <v>15290.6888076047</v>
      </c>
    </row>
    <row r="145" customFormat="false" ht="14.25" hidden="false" customHeight="true" outlineLevel="0" collapsed="false">
      <c r="B145" s="8" t="s">
        <v>220</v>
      </c>
      <c r="C145" s="29" t="s">
        <v>121</v>
      </c>
      <c r="D145" s="81"/>
      <c r="E145" s="76" t="n">
        <f aca="false">E143*Assumptions!$D$69</f>
        <v>571.492500821777</v>
      </c>
      <c r="F145" s="76" t="n">
        <f aca="false">F143*Assumptions!$D$69</f>
        <v>620.359376865491</v>
      </c>
      <c r="G145" s="76" t="n">
        <f aca="false">G143*Assumptions!$D$69</f>
        <v>638.53726780124</v>
      </c>
      <c r="H145" s="76" t="n">
        <f aca="false">H143*Assumptions!$D$69</f>
        <v>637.18872733588</v>
      </c>
      <c r="I145" s="76" t="n">
        <f aca="false">I143*Assumptions!$D$69</f>
        <v>637.08166031585</v>
      </c>
      <c r="J145" s="76" t="n">
        <f aca="false">J143*Assumptions!$D$69</f>
        <v>647.038197729156</v>
      </c>
      <c r="K145" s="76" t="n">
        <f aca="false">K143*Assumptions!$D$69</f>
        <v>662.357858266052</v>
      </c>
      <c r="L145" s="76" t="n">
        <f aca="false">L143*Assumptions!$D$69</f>
        <v>808.456466093732</v>
      </c>
      <c r="M145" s="76" t="n">
        <f aca="false">M143*Assumptions!$D$69</f>
        <v>937.071076183462</v>
      </c>
      <c r="N145" s="76" t="n">
        <f aca="false">N143*Assumptions!$D$69</f>
        <v>697.912023451733</v>
      </c>
      <c r="O145" s="76" t="n">
        <f aca="false">O143*Assumptions!$D$69</f>
        <v>0</v>
      </c>
      <c r="P145" s="76" t="n">
        <f aca="false">P143*Assumptions!$D$69</f>
        <v>0</v>
      </c>
      <c r="Q145" s="76" t="n">
        <f aca="false">Q143*Assumptions!$D$69</f>
        <v>0</v>
      </c>
      <c r="R145" s="76" t="n">
        <f aca="false">R143*Assumptions!$D$69</f>
        <v>0</v>
      </c>
      <c r="S145" s="76" t="n">
        <f aca="false">S143*Assumptions!$D$69</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2:U10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D10" activeCellId="0" sqref="D10"/>
    </sheetView>
  </sheetViews>
  <sheetFormatPr defaultColWidth="100.00390625" defaultRowHeight="14.2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14"/>
    <col collapsed="false" customWidth="true" hidden="false" outlineLevel="0" max="19" min="4" style="0" width="10.56"/>
    <col collapsed="false" customWidth="true" hidden="false" outlineLevel="0" max="20" min="20" style="0" width="4"/>
    <col collapsed="false" customWidth="false" hidden="true" outlineLevel="0" max="16383" min="21" style="0" width="100"/>
    <col collapsed="false" customWidth="true" hidden="false" outlineLevel="0" max="16384" min="16384" style="0" width="8.67"/>
  </cols>
  <sheetData>
    <row r="2" customFormat="false" ht="21.75" hidden="false" customHeight="true" outlineLevel="0" collapsed="false">
      <c r="A2" s="1" t="n">
        <f aca="false">Calcs!A2+1</f>
        <v>3</v>
      </c>
      <c r="B2" s="2" t="s">
        <v>221</v>
      </c>
      <c r="C2" s="3"/>
      <c r="D2" s="3"/>
      <c r="E2" s="3"/>
      <c r="F2" s="3"/>
      <c r="G2" s="3"/>
      <c r="H2" s="3"/>
      <c r="I2" s="3"/>
      <c r="J2" s="3"/>
      <c r="K2" s="3"/>
      <c r="L2" s="3"/>
      <c r="M2" s="3"/>
      <c r="N2" s="3"/>
      <c r="O2" s="3"/>
      <c r="P2" s="3"/>
      <c r="Q2" s="3"/>
      <c r="R2" s="3"/>
      <c r="S2" s="3"/>
    </row>
    <row r="3" customFormat="false" ht="15" hidden="false" customHeight="true" outlineLevel="0" collapsed="false"/>
    <row r="4" customFormat="false" ht="14.25" hidden="false" customHeight="true" outlineLevel="0" collapsed="false">
      <c r="B4" s="18" t="s">
        <v>44</v>
      </c>
      <c r="D4" s="19" t="n">
        <f aca="false">timeline</f>
        <v>41274</v>
      </c>
      <c r="E4" s="19" t="n">
        <f aca="false">timeline</f>
        <v>41639</v>
      </c>
      <c r="F4" s="19" t="n">
        <f aca="false">timeline</f>
        <v>42004</v>
      </c>
      <c r="G4" s="19" t="n">
        <f aca="false">timeline</f>
        <v>42369</v>
      </c>
      <c r="H4" s="19" t="n">
        <f aca="false">timeline</f>
        <v>42735</v>
      </c>
      <c r="I4" s="19" t="n">
        <f aca="false">timeline</f>
        <v>43100</v>
      </c>
      <c r="J4" s="19" t="n">
        <f aca="false">timeline</f>
        <v>43465</v>
      </c>
      <c r="K4" s="19" t="n">
        <f aca="false">timeline</f>
        <v>43830</v>
      </c>
      <c r="L4" s="19" t="n">
        <f aca="false">timeline</f>
        <v>44196</v>
      </c>
      <c r="M4" s="19" t="n">
        <f aca="false">timeline</f>
        <v>44561</v>
      </c>
      <c r="N4" s="19" t="n">
        <f aca="false">timeline</f>
        <v>44926</v>
      </c>
      <c r="O4" s="19" t="n">
        <f aca="false">timeline</f>
        <v>45291</v>
      </c>
      <c r="P4" s="19" t="n">
        <f aca="false">timeline</f>
        <v>45657</v>
      </c>
      <c r="Q4" s="19" t="n">
        <f aca="false">timeline</f>
        <v>46022</v>
      </c>
      <c r="R4" s="19" t="n">
        <f aca="false">timeline</f>
        <v>46387</v>
      </c>
      <c r="S4" s="19" t="n">
        <f aca="false">timeline</f>
        <v>46752</v>
      </c>
    </row>
    <row r="5" customFormat="false" ht="14.25" hidden="false" customHeight="true" outlineLevel="0" collapsed="false">
      <c r="B5" s="18" t="s">
        <v>45</v>
      </c>
      <c r="D5" s="20" t="n">
        <f aca="false">YEAR(D4)</f>
        <v>2012</v>
      </c>
      <c r="E5" s="20" t="n">
        <f aca="false">YEAR(E4)</f>
        <v>2013</v>
      </c>
      <c r="F5" s="20" t="n">
        <f aca="false">YEAR(F4)</f>
        <v>2014</v>
      </c>
      <c r="G5" s="20" t="n">
        <f aca="false">YEAR(G4)</f>
        <v>2015</v>
      </c>
      <c r="H5" s="20" t="n">
        <f aca="false">YEAR(H4)</f>
        <v>2016</v>
      </c>
      <c r="I5" s="20" t="n">
        <f aca="false">YEAR(I4)</f>
        <v>2017</v>
      </c>
      <c r="J5" s="20" t="n">
        <f aca="false">YEAR(J4)</f>
        <v>2018</v>
      </c>
      <c r="K5" s="20" t="n">
        <f aca="false">YEAR(K4)</f>
        <v>2019</v>
      </c>
      <c r="L5" s="20" t="n">
        <f aca="false">YEAR(L4)</f>
        <v>2020</v>
      </c>
      <c r="M5" s="20" t="n">
        <f aca="false">YEAR(M4)</f>
        <v>2021</v>
      </c>
      <c r="N5" s="20" t="n">
        <f aca="false">YEAR(N4)</f>
        <v>2022</v>
      </c>
      <c r="O5" s="20" t="n">
        <f aca="false">YEAR(O4)</f>
        <v>2023</v>
      </c>
      <c r="P5" s="20" t="n">
        <f aca="false">YEAR(P4)</f>
        <v>2024</v>
      </c>
      <c r="Q5" s="20" t="n">
        <f aca="false">YEAR(Q4)</f>
        <v>2025</v>
      </c>
      <c r="R5" s="20" t="n">
        <f aca="false">YEAR(R4)</f>
        <v>2026</v>
      </c>
      <c r="S5" s="20" t="n">
        <f aca="false">YEAR(S4)</f>
        <v>2027</v>
      </c>
    </row>
    <row r="6" customFormat="false" ht="14.25" hidden="false" customHeight="true" outlineLevel="0" collapsed="false">
      <c r="B6" s="21" t="s">
        <v>46</v>
      </c>
      <c r="C6" s="22"/>
      <c r="D6" s="23" t="n">
        <v>0</v>
      </c>
      <c r="E6" s="23" t="n">
        <f aca="false">D6+1</f>
        <v>1</v>
      </c>
      <c r="F6" s="23" t="n">
        <f aca="false">E6+1</f>
        <v>2</v>
      </c>
      <c r="G6" s="23" t="n">
        <f aca="false">F6+1</f>
        <v>3</v>
      </c>
      <c r="H6" s="23" t="n">
        <f aca="false">G6+1</f>
        <v>4</v>
      </c>
      <c r="I6" s="23" t="n">
        <f aca="false">H6+1</f>
        <v>5</v>
      </c>
      <c r="J6" s="23" t="n">
        <f aca="false">I6+1</f>
        <v>6</v>
      </c>
      <c r="K6" s="23" t="n">
        <f aca="false">J6+1</f>
        <v>7</v>
      </c>
      <c r="L6" s="23" t="n">
        <f aca="false">K6+1</f>
        <v>8</v>
      </c>
      <c r="M6" s="23" t="n">
        <f aca="false">L6+1</f>
        <v>9</v>
      </c>
      <c r="N6" s="23" t="n">
        <f aca="false">M6+1</f>
        <v>10</v>
      </c>
      <c r="O6" s="23" t="n">
        <f aca="false">N6+1</f>
        <v>11</v>
      </c>
      <c r="P6" s="23" t="n">
        <f aca="false">O6+1</f>
        <v>12</v>
      </c>
      <c r="Q6" s="23" t="n">
        <f aca="false">P6+1</f>
        <v>13</v>
      </c>
      <c r="R6" s="23" t="n">
        <f aca="false">Q6+1</f>
        <v>14</v>
      </c>
      <c r="S6" s="23" t="n">
        <f aca="false">R6+1</f>
        <v>15</v>
      </c>
    </row>
    <row r="8" customFormat="false" ht="17.25" hidden="false" customHeight="true" outlineLevel="0" collapsed="false">
      <c r="A8" s="24" t="n">
        <f aca="false">MAX($A$2:A3)+0.01</f>
        <v>3.01</v>
      </c>
      <c r="B8" s="24" t="s">
        <v>222</v>
      </c>
      <c r="C8" s="24"/>
      <c r="D8" s="24"/>
      <c r="E8" s="24"/>
      <c r="F8" s="24"/>
      <c r="G8" s="24"/>
      <c r="H8" s="24"/>
      <c r="I8" s="24"/>
      <c r="J8" s="24"/>
      <c r="K8" s="24"/>
      <c r="L8" s="24"/>
      <c r="M8" s="24"/>
      <c r="N8" s="24"/>
      <c r="O8" s="24"/>
      <c r="P8" s="24"/>
      <c r="Q8" s="24"/>
      <c r="R8" s="24"/>
      <c r="S8" s="24"/>
    </row>
    <row r="9" customFormat="false" ht="15" hidden="false" customHeight="true" outlineLevel="0" collapsed="false"/>
    <row r="10" customFormat="false" ht="14.25" hidden="false" customHeight="true" outlineLevel="0" collapsed="false">
      <c r="B10" s="8" t="s">
        <v>136</v>
      </c>
      <c r="C10" s="29" t="s">
        <v>138</v>
      </c>
      <c r="D10" s="68" t="n">
        <f aca="false">Calcs!D17</f>
        <v>125</v>
      </c>
      <c r="E10" s="68" t="n">
        <f aca="false">Calcs!E17</f>
        <v>125</v>
      </c>
      <c r="F10" s="68" t="n">
        <f aca="false">Calcs!F17</f>
        <v>125</v>
      </c>
      <c r="G10" s="68" t="n">
        <f aca="false">Calcs!G17</f>
        <v>125</v>
      </c>
      <c r="H10" s="68" t="n">
        <f aca="false">Calcs!H17</f>
        <v>125</v>
      </c>
      <c r="I10" s="68" t="n">
        <f aca="false">Calcs!I17</f>
        <v>125</v>
      </c>
      <c r="J10" s="68" t="n">
        <f aca="false">Calcs!J17</f>
        <v>125</v>
      </c>
      <c r="K10" s="68" t="n">
        <f aca="false">Calcs!K17</f>
        <v>125</v>
      </c>
      <c r="L10" s="68" t="n">
        <f aca="false">Calcs!L17</f>
        <v>125</v>
      </c>
      <c r="M10" s="68" t="n">
        <f aca="false">Calcs!M17</f>
        <v>125</v>
      </c>
      <c r="N10" s="68" t="n">
        <f aca="false">Calcs!N17</f>
        <v>125</v>
      </c>
      <c r="O10" s="68" t="n">
        <f aca="false">Calcs!O17</f>
        <v>125</v>
      </c>
      <c r="P10" s="68" t="n">
        <f aca="false">Calcs!P17</f>
        <v>125</v>
      </c>
      <c r="Q10" s="68" t="n">
        <f aca="false">Calcs!Q17</f>
        <v>125</v>
      </c>
      <c r="R10" s="68" t="n">
        <f aca="false">Calcs!R17</f>
        <v>125</v>
      </c>
      <c r="S10" s="68" t="n">
        <f aca="false">Calcs!S17</f>
        <v>125</v>
      </c>
      <c r="T10" s="29"/>
      <c r="U10" s="29" t="s">
        <v>223</v>
      </c>
    </row>
    <row r="12" customFormat="false" ht="14.25" hidden="false" customHeight="true" outlineLevel="0" collapsed="false">
      <c r="B12" s="8" t="s">
        <v>160</v>
      </c>
      <c r="C12" s="29" t="s">
        <v>121</v>
      </c>
      <c r="D12" s="82" t="n">
        <f aca="false">Calcs!D52</f>
        <v>6875</v>
      </c>
      <c r="E12" s="82" t="n">
        <f aca="false">Calcs!E52</f>
        <v>7011.81592039801</v>
      </c>
      <c r="F12" s="82" t="n">
        <f aca="false">Calcs!F52</f>
        <v>7115.95180040392</v>
      </c>
      <c r="G12" s="82" t="n">
        <f aca="false">Calcs!G52</f>
        <v>7186.05969991529</v>
      </c>
      <c r="H12" s="82" t="n">
        <f aca="false">Calcs!H52</f>
        <v>7186.0596999153</v>
      </c>
      <c r="I12" s="82" t="n">
        <f aca="false">Calcs!I52</f>
        <v>7151.00575015961</v>
      </c>
      <c r="J12" s="82" t="n">
        <f aca="false">Calcs!J52</f>
        <v>7081.57850986679</v>
      </c>
      <c r="K12" s="82" t="n">
        <f aca="false">Calcs!K52</f>
        <v>6978.94693726003</v>
      </c>
      <c r="L12" s="82" t="n">
        <f aca="false">Calcs!L52</f>
        <v>7383.2116694513</v>
      </c>
      <c r="M12" s="82" t="n">
        <f aca="false">Calcs!M52</f>
        <v>7681.49342089715</v>
      </c>
      <c r="N12" s="82" t="n">
        <f aca="false">Calcs!N52</f>
        <v>6490.10140858777</v>
      </c>
      <c r="O12" s="82" t="n">
        <f aca="false">Calcs!O52</f>
        <v>6274.78998744978</v>
      </c>
      <c r="P12" s="82" t="n">
        <f aca="false">Calcs!P52</f>
        <v>6038.00545962149</v>
      </c>
      <c r="Q12" s="82" t="n">
        <f aca="false">Calcs!Q52</f>
        <v>5782.87846836988</v>
      </c>
      <c r="R12" s="82" t="n">
        <f aca="false">Calcs!R52</f>
        <v>5512.6505025582</v>
      </c>
      <c r="S12" s="82" t="n">
        <f aca="false">Calcs!S52</f>
        <v>5230.60791870639</v>
      </c>
    </row>
    <row r="13" customFormat="false" ht="14.25" hidden="false" customHeight="true" outlineLevel="0" collapsed="false">
      <c r="B13" s="8" t="s">
        <v>224</v>
      </c>
      <c r="C13" s="29" t="s">
        <v>121</v>
      </c>
      <c r="D13" s="82" t="n">
        <f aca="false">Calcs!D53</f>
        <v>5000</v>
      </c>
      <c r="E13" s="82" t="n">
        <f aca="false">Calcs!E53</f>
        <v>5050</v>
      </c>
      <c r="F13" s="82" t="n">
        <f aca="false">Calcs!F53</f>
        <v>5100.5</v>
      </c>
      <c r="G13" s="82" t="n">
        <f aca="false">Calcs!G53</f>
        <v>5151.505</v>
      </c>
      <c r="H13" s="82" t="n">
        <f aca="false">Calcs!H53</f>
        <v>5177.262525</v>
      </c>
      <c r="I13" s="82" t="n">
        <f aca="false">Calcs!I53</f>
        <v>5203.148837625</v>
      </c>
      <c r="J13" s="82" t="n">
        <f aca="false">Calcs!J53</f>
        <v>5229.16458181312</v>
      </c>
      <c r="K13" s="82" t="n">
        <f aca="false">Calcs!K53</f>
        <v>5255.31040472219</v>
      </c>
      <c r="L13" s="82" t="n">
        <f aca="false">Calcs!L53</f>
        <v>5281.5869567458</v>
      </c>
      <c r="M13" s="82" t="n">
        <f aca="false">Calcs!M53</f>
        <v>5307.99489152953</v>
      </c>
      <c r="N13" s="82" t="n">
        <f aca="false">Calcs!N53</f>
        <v>5334.53486598718</v>
      </c>
      <c r="O13" s="82" t="n">
        <f aca="false">Calcs!O53</f>
        <v>0</v>
      </c>
      <c r="P13" s="82" t="n">
        <f aca="false">Calcs!P53</f>
        <v>0</v>
      </c>
      <c r="Q13" s="82" t="n">
        <f aca="false">Calcs!Q53</f>
        <v>0</v>
      </c>
      <c r="R13" s="82" t="n">
        <f aca="false">Calcs!R53</f>
        <v>0</v>
      </c>
      <c r="S13" s="82" t="n">
        <f aca="false">Calcs!S53</f>
        <v>0</v>
      </c>
    </row>
    <row r="14" customFormat="false" ht="14.25" hidden="false" customHeight="true" outlineLevel="0" collapsed="false">
      <c r="B14" s="83" t="s">
        <v>225</v>
      </c>
      <c r="C14" s="83" t="s">
        <v>121</v>
      </c>
      <c r="D14" s="76" t="n">
        <f aca="false">SUM(D12:D13)</f>
        <v>11875</v>
      </c>
      <c r="E14" s="76" t="n">
        <f aca="false">SUM(E12:E13)</f>
        <v>12061.815920398</v>
      </c>
      <c r="F14" s="76" t="n">
        <f aca="false">SUM(F12:F13)</f>
        <v>12216.4518004039</v>
      </c>
      <c r="G14" s="76" t="n">
        <f aca="false">SUM(G12:G13)</f>
        <v>12337.5646999153</v>
      </c>
      <c r="H14" s="76" t="n">
        <f aca="false">SUM(H12:H13)</f>
        <v>12363.3222249153</v>
      </c>
      <c r="I14" s="76" t="n">
        <f aca="false">SUM(I12:I13)</f>
        <v>12354.1545877846</v>
      </c>
      <c r="J14" s="76" t="n">
        <f aca="false">SUM(J12:J13)</f>
        <v>12310.7430916799</v>
      </c>
      <c r="K14" s="76" t="n">
        <f aca="false">SUM(K12:K13)</f>
        <v>12234.2573419822</v>
      </c>
      <c r="L14" s="76" t="n">
        <f aca="false">SUM(L12:L13)</f>
        <v>12664.7986261971</v>
      </c>
      <c r="M14" s="76" t="n">
        <f aca="false">SUM(M12:M13)</f>
        <v>12989.4883124267</v>
      </c>
      <c r="N14" s="76" t="n">
        <f aca="false">SUM(N12:N13)</f>
        <v>11824.6362745749</v>
      </c>
      <c r="O14" s="76" t="n">
        <f aca="false">SUM(O12:O13)</f>
        <v>6274.78998744978</v>
      </c>
      <c r="P14" s="76" t="n">
        <f aca="false">SUM(P12:P13)</f>
        <v>6038.00545962149</v>
      </c>
      <c r="Q14" s="76" t="n">
        <f aca="false">SUM(Q12:Q13)</f>
        <v>5782.87846836988</v>
      </c>
      <c r="R14" s="76" t="n">
        <f aca="false">SUM(R12:R13)</f>
        <v>5512.6505025582</v>
      </c>
      <c r="S14" s="76" t="n">
        <f aca="false">SUM(S12:S13)</f>
        <v>5230.60791870639</v>
      </c>
    </row>
    <row r="16" customFormat="false" ht="14.25" hidden="false" customHeight="true" outlineLevel="0" collapsed="false">
      <c r="B16" s="8" t="s">
        <v>166</v>
      </c>
      <c r="C16" s="29" t="s">
        <v>121</v>
      </c>
      <c r="D16" s="82" t="n">
        <f aca="false">-Calcs!D61</f>
        <v>-625</v>
      </c>
      <c r="E16" s="82" t="n">
        <f aca="false">-Calcs!E61</f>
        <v>-642.1875</v>
      </c>
      <c r="F16" s="82" t="n">
        <f aca="false">-Calcs!F61</f>
        <v>-659.84765625</v>
      </c>
      <c r="G16" s="82" t="n">
        <f aca="false">-Calcs!G61</f>
        <v>-677.993466796875</v>
      </c>
      <c r="H16" s="82" t="n">
        <f aca="false">-Calcs!H61</f>
        <v>-693.248319799805</v>
      </c>
      <c r="I16" s="82" t="n">
        <f aca="false">-Calcs!I61</f>
        <v>-708.8464069953</v>
      </c>
      <c r="J16" s="82" t="n">
        <f aca="false">-Calcs!J61</f>
        <v>-724.795451152695</v>
      </c>
      <c r="K16" s="82" t="n">
        <f aca="false">-Calcs!K61</f>
        <v>-741.10334880363</v>
      </c>
      <c r="L16" s="82" t="n">
        <f aca="false">-Calcs!L61</f>
        <v>-757.778174151712</v>
      </c>
      <c r="M16" s="82" t="n">
        <f aca="false">-Calcs!M61</f>
        <v>-774.828183070125</v>
      </c>
      <c r="N16" s="82" t="n">
        <f aca="false">-Calcs!N61</f>
        <v>-792.261817189203</v>
      </c>
      <c r="O16" s="82" t="n">
        <f aca="false">-Calcs!O61</f>
        <v>-810.08770807596</v>
      </c>
      <c r="P16" s="82" t="n">
        <f aca="false">-Calcs!P61</f>
        <v>-828.314681507669</v>
      </c>
      <c r="Q16" s="82" t="n">
        <f aca="false">-Calcs!Q61</f>
        <v>-846.951761841592</v>
      </c>
      <c r="R16" s="82" t="n">
        <f aca="false">-Calcs!R61</f>
        <v>-866.008176483028</v>
      </c>
      <c r="S16" s="82" t="n">
        <f aca="false">-Calcs!S61</f>
        <v>-885.493360453896</v>
      </c>
    </row>
    <row r="17" customFormat="false" ht="14.25" hidden="false" customHeight="true" outlineLevel="0" collapsed="false">
      <c r="B17" s="8" t="s">
        <v>165</v>
      </c>
      <c r="C17" s="29" t="s">
        <v>121</v>
      </c>
      <c r="D17" s="82" t="n">
        <f aca="false">-Calcs!D60</f>
        <v>-2500</v>
      </c>
      <c r="E17" s="82" t="n">
        <f aca="false">-Calcs!E60</f>
        <v>-2568.75</v>
      </c>
      <c r="F17" s="82" t="n">
        <f aca="false">-Calcs!F60</f>
        <v>-2639.390625</v>
      </c>
      <c r="G17" s="82" t="n">
        <f aca="false">-Calcs!G60</f>
        <v>-2711.9738671875</v>
      </c>
      <c r="H17" s="82" t="n">
        <f aca="false">-Calcs!H60</f>
        <v>-2772.99327919922</v>
      </c>
      <c r="I17" s="82" t="n">
        <f aca="false">-Calcs!I60</f>
        <v>-2835.3856279812</v>
      </c>
      <c r="J17" s="82" t="n">
        <f aca="false">-Calcs!J60</f>
        <v>-2899.18180461078</v>
      </c>
      <c r="K17" s="82" t="n">
        <f aca="false">-Calcs!K60</f>
        <v>-2964.41339521452</v>
      </c>
      <c r="L17" s="82" t="n">
        <f aca="false">-Calcs!L60</f>
        <v>-3031.11269660685</v>
      </c>
      <c r="M17" s="82" t="n">
        <f aca="false">-Calcs!M60</f>
        <v>-3099.3127322805</v>
      </c>
      <c r="N17" s="82" t="n">
        <f aca="false">-Calcs!N60</f>
        <v>-3169.04726875681</v>
      </c>
      <c r="O17" s="82" t="n">
        <f aca="false">-Calcs!O60</f>
        <v>-3240.35083230384</v>
      </c>
      <c r="P17" s="82" t="n">
        <f aca="false">-Calcs!P60</f>
        <v>-3313.25872603068</v>
      </c>
      <c r="Q17" s="82" t="n">
        <f aca="false">-Calcs!Q60</f>
        <v>-3387.80704736637</v>
      </c>
      <c r="R17" s="82" t="n">
        <f aca="false">-Calcs!R60</f>
        <v>-3464.03270593211</v>
      </c>
      <c r="S17" s="82" t="n">
        <f aca="false">-Calcs!S60</f>
        <v>-3541.97344181558</v>
      </c>
    </row>
    <row r="18" customFormat="false" ht="14.25" hidden="false" customHeight="true" outlineLevel="0" collapsed="false">
      <c r="B18" s="83" t="s">
        <v>226</v>
      </c>
      <c r="C18" s="83" t="s">
        <v>121</v>
      </c>
      <c r="D18" s="76" t="n">
        <f aca="false">SUM(D16:D17)</f>
        <v>-3125</v>
      </c>
      <c r="E18" s="76" t="n">
        <f aca="false">SUM(E16:E17)</f>
        <v>-3210.9375</v>
      </c>
      <c r="F18" s="76" t="n">
        <f aca="false">SUM(F16:F17)</f>
        <v>-3299.23828125</v>
      </c>
      <c r="G18" s="76" t="n">
        <f aca="false">SUM(G16:G17)</f>
        <v>-3389.96733398438</v>
      </c>
      <c r="H18" s="76" t="n">
        <f aca="false">SUM(H16:H17)</f>
        <v>-3466.24159899902</v>
      </c>
      <c r="I18" s="76" t="n">
        <f aca="false">SUM(I16:I17)</f>
        <v>-3544.2320349765</v>
      </c>
      <c r="J18" s="76" t="n">
        <f aca="false">SUM(J16:J17)</f>
        <v>-3623.97725576347</v>
      </c>
      <c r="K18" s="76" t="n">
        <f aca="false">SUM(K16:K17)</f>
        <v>-3705.51674401815</v>
      </c>
      <c r="L18" s="76" t="n">
        <f aca="false">SUM(L16:L17)</f>
        <v>-3788.89087075856</v>
      </c>
      <c r="M18" s="76" t="n">
        <f aca="false">SUM(M16:M17)</f>
        <v>-3874.14091535063</v>
      </c>
      <c r="N18" s="76" t="n">
        <f aca="false">SUM(N16:N17)</f>
        <v>-3961.30908594602</v>
      </c>
      <c r="O18" s="76" t="n">
        <f aca="false">SUM(O16:O17)</f>
        <v>-4050.4385403798</v>
      </c>
      <c r="P18" s="76" t="n">
        <f aca="false">SUM(P16:P17)</f>
        <v>-4141.57340753835</v>
      </c>
      <c r="Q18" s="76" t="n">
        <f aca="false">SUM(Q16:Q17)</f>
        <v>-4234.75880920796</v>
      </c>
      <c r="R18" s="76" t="n">
        <f aca="false">SUM(R16:R17)</f>
        <v>-4330.04088241514</v>
      </c>
      <c r="S18" s="76" t="n">
        <f aca="false">SUM(S16:S17)</f>
        <v>-4427.46680226948</v>
      </c>
    </row>
    <row r="20" customFormat="false" ht="14.25" hidden="false" customHeight="true" outlineLevel="0" collapsed="false">
      <c r="B20" s="84" t="s">
        <v>168</v>
      </c>
      <c r="C20" s="84" t="s">
        <v>121</v>
      </c>
      <c r="D20" s="85" t="n">
        <f aca="false">SUM(D14,D18)</f>
        <v>8750</v>
      </c>
      <c r="E20" s="85" t="n">
        <f aca="false">SUM(E14,E18)</f>
        <v>8850.87842039801</v>
      </c>
      <c r="F20" s="85" t="n">
        <f aca="false">SUM(F14,F18)</f>
        <v>8917.21351915392</v>
      </c>
      <c r="G20" s="85" t="n">
        <f aca="false">SUM(G14,G18)</f>
        <v>8947.59736593092</v>
      </c>
      <c r="H20" s="85" t="n">
        <f aca="false">SUM(H14,H18)</f>
        <v>8897.08062591627</v>
      </c>
      <c r="I20" s="85" t="n">
        <f aca="false">SUM(I14,I18)</f>
        <v>8809.92255280811</v>
      </c>
      <c r="J20" s="85" t="n">
        <f aca="false">SUM(J14,J18)</f>
        <v>8686.76583591644</v>
      </c>
      <c r="K20" s="85" t="n">
        <f aca="false">SUM(K14,K18)</f>
        <v>8528.74059796407</v>
      </c>
      <c r="L20" s="85" t="n">
        <f aca="false">SUM(L14,L18)</f>
        <v>8875.90775543854</v>
      </c>
      <c r="M20" s="85" t="n">
        <f aca="false">SUM(M14,M18)</f>
        <v>9115.34739707605</v>
      </c>
      <c r="N20" s="85" t="n">
        <f aca="false">SUM(N14,N18)</f>
        <v>7863.32718862893</v>
      </c>
      <c r="O20" s="85" t="n">
        <f aca="false">SUM(O14,O18)</f>
        <v>2224.35144706998</v>
      </c>
      <c r="P20" s="85" t="n">
        <f aca="false">SUM(P14,P18)</f>
        <v>1896.43205208315</v>
      </c>
      <c r="Q20" s="85" t="n">
        <f aca="false">SUM(Q14,Q18)</f>
        <v>1548.11965916192</v>
      </c>
      <c r="R20" s="85" t="n">
        <f aca="false">SUM(R14,R18)</f>
        <v>1182.60962014306</v>
      </c>
      <c r="S20" s="85" t="n">
        <f aca="false">SUM(S14,S18)</f>
        <v>803.141116436907</v>
      </c>
    </row>
    <row r="21" customFormat="false" ht="14.25" hidden="false" customHeight="true" outlineLevel="0" collapsed="false">
      <c r="B21" s="86" t="s">
        <v>107</v>
      </c>
      <c r="C21" s="86" t="s">
        <v>54</v>
      </c>
      <c r="D21" s="78" t="n">
        <f aca="false">IF(D14=0,0,D20/D14)</f>
        <v>0.736842105263158</v>
      </c>
      <c r="E21" s="78" t="n">
        <f aca="false">IF(E14=0,0,E20/E14)</f>
        <v>0.733793193231385</v>
      </c>
      <c r="F21" s="78" t="n">
        <f aca="false">IF(F14=0,0,F20/F14)</f>
        <v>0.729934817805206</v>
      </c>
      <c r="G21" s="78" t="n">
        <f aca="false">IF(G14=0,0,G20/G14)</f>
        <v>0.725232052156318</v>
      </c>
      <c r="H21" s="78" t="n">
        <f aca="false">IF(H14=0,0,H20/H14)</f>
        <v>0.719635100020798</v>
      </c>
      <c r="I21" s="78" t="n">
        <f aca="false">IF(I14=0,0,I20/I14)</f>
        <v>0.713114158496857</v>
      </c>
      <c r="J21" s="78" t="n">
        <f aca="false">IF(J14=0,0,J20/J14)</f>
        <v>0.705624816570764</v>
      </c>
      <c r="K21" s="78" t="n">
        <f aca="false">IF(K14=0,0,K20/K14)</f>
        <v>0.697119601097276</v>
      </c>
      <c r="L21" s="78" t="n">
        <f aca="false">IF(L14=0,0,L20/L14)</f>
        <v>0.700832916291203</v>
      </c>
      <c r="M21" s="78" t="n">
        <f aca="false">IF(M14=0,0,M20/M14)</f>
        <v>0.701747996366851</v>
      </c>
      <c r="N21" s="78" t="n">
        <f aca="false">IF(N14=0,0,N20/N14)</f>
        <v>0.664995269709604</v>
      </c>
      <c r="O21" s="78" t="n">
        <f aca="false">IF(O14=0,0,O20/O14)</f>
        <v>0.354490182383619</v>
      </c>
      <c r="P21" s="78" t="n">
        <f aca="false">IF(P14=0,0,P20/P14)</f>
        <v>0.314082533506359</v>
      </c>
      <c r="Q21" s="78" t="n">
        <f aca="false">IF(Q14=0,0,Q20/Q14)</f>
        <v>0.267707451856293</v>
      </c>
      <c r="R21" s="78" t="n">
        <f aca="false">IF(R14=0,0,R20/R14)</f>
        <v>0.214526500382032</v>
      </c>
      <c r="S21" s="78" t="n">
        <f aca="false">IF(S14=0,0,S20/S14)</f>
        <v>0.153546419253603</v>
      </c>
    </row>
    <row r="23" customFormat="false" ht="14.25" hidden="false" customHeight="true" outlineLevel="0" collapsed="false">
      <c r="B23" s="8" t="s">
        <v>205</v>
      </c>
      <c r="C23" s="29" t="s">
        <v>121</v>
      </c>
      <c r="E23" s="82" t="n">
        <f aca="false">-Calcs!E67</f>
        <v>-4500</v>
      </c>
      <c r="F23" s="82" t="n">
        <f aca="false">-Calcs!F67</f>
        <v>-4500</v>
      </c>
      <c r="G23" s="82" t="n">
        <f aca="false">-Calcs!G67</f>
        <v>-4500</v>
      </c>
      <c r="H23" s="82" t="n">
        <f aca="false">-Calcs!H67</f>
        <v>-4500</v>
      </c>
      <c r="I23" s="82" t="n">
        <f aca="false">-Calcs!I67</f>
        <v>-4500</v>
      </c>
      <c r="J23" s="82" t="n">
        <f aca="false">-Calcs!J67</f>
        <v>-4500</v>
      </c>
      <c r="K23" s="82" t="n">
        <f aca="false">-Calcs!K67</f>
        <v>-4500</v>
      </c>
      <c r="L23" s="82" t="n">
        <f aca="false">-Calcs!L67</f>
        <v>-4500</v>
      </c>
      <c r="M23" s="82" t="n">
        <f aca="false">-Calcs!M67</f>
        <v>-4500</v>
      </c>
      <c r="N23" s="82" t="n">
        <f aca="false">-Calcs!N67</f>
        <v>-4500</v>
      </c>
      <c r="O23" s="82" t="n">
        <f aca="false">-Calcs!O67</f>
        <v>-4500</v>
      </c>
      <c r="P23" s="82" t="n">
        <f aca="false">-Calcs!P67</f>
        <v>-4500</v>
      </c>
      <c r="Q23" s="82" t="n">
        <f aca="false">-Calcs!Q67</f>
        <v>-4500</v>
      </c>
      <c r="R23" s="82" t="n">
        <f aca="false">-Calcs!R67</f>
        <v>-4500</v>
      </c>
      <c r="S23" s="82" t="n">
        <f aca="false">-Calcs!S67</f>
        <v>-4500</v>
      </c>
    </row>
    <row r="24" customFormat="false" ht="14.25" hidden="false" customHeight="true" outlineLevel="0" collapsed="false">
      <c r="B24" s="83" t="s">
        <v>227</v>
      </c>
      <c r="C24" s="83" t="s">
        <v>121</v>
      </c>
      <c r="D24" s="81"/>
      <c r="E24" s="76" t="n">
        <f aca="false">E20+E23</f>
        <v>4350.87842039801</v>
      </c>
      <c r="F24" s="76" t="n">
        <f aca="false">F20+F23</f>
        <v>4417.21351915392</v>
      </c>
      <c r="G24" s="76" t="n">
        <f aca="false">G20+G23</f>
        <v>4447.59736593092</v>
      </c>
      <c r="H24" s="76" t="n">
        <f aca="false">H20+H23</f>
        <v>4397.08062591627</v>
      </c>
      <c r="I24" s="76" t="n">
        <f aca="false">I20+I23</f>
        <v>4309.92255280811</v>
      </c>
      <c r="J24" s="76" t="n">
        <f aca="false">J20+J23</f>
        <v>4186.76583591644</v>
      </c>
      <c r="K24" s="76" t="n">
        <f aca="false">K20+K23</f>
        <v>4028.74059796407</v>
      </c>
      <c r="L24" s="76" t="n">
        <f aca="false">L20+L23</f>
        <v>4375.90775543854</v>
      </c>
      <c r="M24" s="76" t="n">
        <f aca="false">M20+M23</f>
        <v>4615.34739707605</v>
      </c>
      <c r="N24" s="76" t="n">
        <f aca="false">N20+N23</f>
        <v>3363.32718862893</v>
      </c>
      <c r="O24" s="76" t="n">
        <f aca="false">O20+O23</f>
        <v>-2275.64855293002</v>
      </c>
      <c r="P24" s="76" t="n">
        <f aca="false">P20+P23</f>
        <v>-2603.56794791685</v>
      </c>
      <c r="Q24" s="76" t="n">
        <f aca="false">Q20+Q23</f>
        <v>-2951.88034083808</v>
      </c>
      <c r="R24" s="76" t="n">
        <f aca="false">R20+R23</f>
        <v>-3317.39037985694</v>
      </c>
      <c r="S24" s="76" t="n">
        <f aca="false">S20+S23</f>
        <v>-3696.85888356309</v>
      </c>
    </row>
    <row r="26" customFormat="false" ht="14.25" hidden="false" customHeight="true" outlineLevel="0" collapsed="false">
      <c r="B26" s="8" t="s">
        <v>228</v>
      </c>
      <c r="C26" s="29" t="s">
        <v>121</v>
      </c>
      <c r="E26" s="82" t="n">
        <f aca="false">-Calcs!E131</f>
        <v>-2064.9084171109</v>
      </c>
      <c r="F26" s="82" t="n">
        <f aca="false">-Calcs!F131</f>
        <v>-1935.77601169195</v>
      </c>
      <c r="G26" s="82" t="n">
        <f aca="false">-Calcs!G131</f>
        <v>-1893.44829472596</v>
      </c>
      <c r="H26" s="82" t="n">
        <f aca="false">-Calcs!H131</f>
        <v>-1848.32571657275</v>
      </c>
      <c r="I26" s="82" t="n">
        <f aca="false">-Calcs!I131</f>
        <v>-1761.59591154471</v>
      </c>
      <c r="J26" s="82" t="n">
        <f aca="false">-Calcs!J131</f>
        <v>-1598.61304499982</v>
      </c>
      <c r="K26" s="82" t="n">
        <f aca="false">-Calcs!K131</f>
        <v>-1379.30916489987</v>
      </c>
      <c r="L26" s="82" t="n">
        <f aca="false">-Calcs!L131</f>
        <v>-1142.08189106361</v>
      </c>
      <c r="M26" s="82" t="n">
        <f aca="false">-Calcs!M131</f>
        <v>-867.063092342201</v>
      </c>
      <c r="N26" s="82" t="n">
        <f aca="false">-Calcs!N131</f>
        <v>-571.679094821998</v>
      </c>
      <c r="O26" s="82" t="n">
        <f aca="false">-Calcs!O131</f>
        <v>-279.042898528971</v>
      </c>
      <c r="P26" s="82" t="n">
        <f aca="false">-Calcs!P131</f>
        <v>-166.299803970749</v>
      </c>
      <c r="Q26" s="82" t="n">
        <f aca="false">-Calcs!Q131</f>
        <v>-0</v>
      </c>
      <c r="R26" s="82" t="n">
        <f aca="false">-Calcs!R131</f>
        <v>-0</v>
      </c>
      <c r="S26" s="82" t="n">
        <f aca="false">-Calcs!S131</f>
        <v>-0</v>
      </c>
    </row>
    <row r="27" customFormat="false" ht="14.25" hidden="false" customHeight="true" outlineLevel="0" collapsed="false">
      <c r="B27" s="8" t="s">
        <v>216</v>
      </c>
      <c r="C27" s="29" t="s">
        <v>121</v>
      </c>
      <c r="D27" s="81"/>
      <c r="E27" s="87" t="n">
        <f aca="false">E24+E26</f>
        <v>2285.97000328711</v>
      </c>
      <c r="F27" s="87" t="n">
        <f aca="false">F24+F26</f>
        <v>2481.43750746197</v>
      </c>
      <c r="G27" s="87" t="n">
        <f aca="false">G24+G26</f>
        <v>2554.14907120496</v>
      </c>
      <c r="H27" s="87" t="n">
        <f aca="false">H24+H26</f>
        <v>2548.75490934352</v>
      </c>
      <c r="I27" s="87" t="n">
        <f aca="false">I24+I26</f>
        <v>2548.3266412634</v>
      </c>
      <c r="J27" s="87" t="n">
        <f aca="false">J24+J26</f>
        <v>2588.15279091662</v>
      </c>
      <c r="K27" s="87" t="n">
        <f aca="false">K24+K26</f>
        <v>2649.43143306421</v>
      </c>
      <c r="L27" s="87" t="n">
        <f aca="false">L24+L26</f>
        <v>3233.82586437493</v>
      </c>
      <c r="M27" s="87" t="n">
        <f aca="false">M24+M26</f>
        <v>3748.28430473385</v>
      </c>
      <c r="N27" s="87" t="n">
        <f aca="false">N24+N26</f>
        <v>2791.64809380693</v>
      </c>
      <c r="O27" s="87" t="n">
        <f aca="false">O24+O26</f>
        <v>-2554.69145145899</v>
      </c>
      <c r="P27" s="87" t="n">
        <f aca="false">P24+P26</f>
        <v>-2769.8677518876</v>
      </c>
      <c r="Q27" s="87" t="n">
        <f aca="false">Q24+Q26</f>
        <v>-2951.88034083808</v>
      </c>
      <c r="R27" s="87" t="n">
        <f aca="false">R24+R26</f>
        <v>-3317.39037985694</v>
      </c>
      <c r="S27" s="87" t="n">
        <f aca="false">S24+S26</f>
        <v>-3696.85888356309</v>
      </c>
    </row>
    <row r="28" customFormat="false" ht="14.25" hidden="false" customHeight="true" outlineLevel="0" collapsed="false">
      <c r="B28" s="8" t="s">
        <v>101</v>
      </c>
      <c r="C28" s="29" t="s">
        <v>121</v>
      </c>
      <c r="E28" s="82" t="n">
        <f aca="false">-Calcs!E145</f>
        <v>-571.492500821777</v>
      </c>
      <c r="F28" s="82" t="n">
        <f aca="false">-Calcs!F145</f>
        <v>-620.359376865491</v>
      </c>
      <c r="G28" s="82" t="n">
        <f aca="false">-Calcs!G145</f>
        <v>-638.53726780124</v>
      </c>
      <c r="H28" s="82" t="n">
        <f aca="false">-Calcs!H145</f>
        <v>-637.18872733588</v>
      </c>
      <c r="I28" s="82" t="n">
        <f aca="false">-Calcs!I145</f>
        <v>-637.08166031585</v>
      </c>
      <c r="J28" s="82" t="n">
        <f aca="false">-Calcs!J145</f>
        <v>-647.038197729156</v>
      </c>
      <c r="K28" s="82" t="n">
        <f aca="false">-Calcs!K145</f>
        <v>-662.357858266052</v>
      </c>
      <c r="L28" s="82" t="n">
        <f aca="false">-Calcs!L145</f>
        <v>-808.456466093732</v>
      </c>
      <c r="M28" s="82" t="n">
        <f aca="false">-Calcs!M145</f>
        <v>-937.071076183462</v>
      </c>
      <c r="N28" s="82" t="n">
        <f aca="false">-Calcs!N145</f>
        <v>-697.912023451733</v>
      </c>
      <c r="O28" s="82" t="n">
        <f aca="false">-Calcs!O145</f>
        <v>-0</v>
      </c>
      <c r="P28" s="82" t="n">
        <f aca="false">-Calcs!P145</f>
        <v>-0</v>
      </c>
      <c r="Q28" s="82" t="n">
        <f aca="false">-Calcs!Q145</f>
        <v>-0</v>
      </c>
      <c r="R28" s="82" t="n">
        <f aca="false">-Calcs!R145</f>
        <v>-0</v>
      </c>
      <c r="S28" s="82" t="n">
        <f aca="false">-Calcs!S145</f>
        <v>-0</v>
      </c>
    </row>
    <row r="29" customFormat="false" ht="14.25" hidden="false" customHeight="true" outlineLevel="0" collapsed="false">
      <c r="B29" s="8" t="s">
        <v>229</v>
      </c>
      <c r="C29" s="29" t="s">
        <v>121</v>
      </c>
      <c r="D29" s="81"/>
      <c r="E29" s="76" t="n">
        <f aca="false">E27+E28</f>
        <v>1714.47750246533</v>
      </c>
      <c r="F29" s="76" t="n">
        <f aca="false">F27+F28</f>
        <v>1861.07813059647</v>
      </c>
      <c r="G29" s="76" t="n">
        <f aca="false">G27+G28</f>
        <v>1915.61180340372</v>
      </c>
      <c r="H29" s="76" t="n">
        <f aca="false">H27+H28</f>
        <v>1911.56618200764</v>
      </c>
      <c r="I29" s="76" t="n">
        <f aca="false">I27+I28</f>
        <v>1911.24498094755</v>
      </c>
      <c r="J29" s="76" t="n">
        <f aca="false">J27+J28</f>
        <v>1941.11459318747</v>
      </c>
      <c r="K29" s="76" t="n">
        <f aca="false">K27+K28</f>
        <v>1987.07357479815</v>
      </c>
      <c r="L29" s="76" t="n">
        <f aca="false">L27+L28</f>
        <v>2425.36939828119</v>
      </c>
      <c r="M29" s="76" t="n">
        <f aca="false">M27+M28</f>
        <v>2811.21322855039</v>
      </c>
      <c r="N29" s="76" t="n">
        <f aca="false">N27+N28</f>
        <v>2093.7360703552</v>
      </c>
      <c r="O29" s="76" t="n">
        <f aca="false">O27+O28</f>
        <v>-2554.69145145899</v>
      </c>
      <c r="P29" s="76" t="n">
        <f aca="false">P27+P28</f>
        <v>-2769.8677518876</v>
      </c>
      <c r="Q29" s="76" t="n">
        <f aca="false">Q27+Q28</f>
        <v>-2951.88034083808</v>
      </c>
      <c r="R29" s="76" t="n">
        <f aca="false">R27+R28</f>
        <v>-3317.39037985694</v>
      </c>
      <c r="S29" s="76" t="n">
        <f aca="false">S27+S28</f>
        <v>-3696.85888356309</v>
      </c>
    </row>
    <row r="33" customFormat="false" ht="17.25" hidden="false" customHeight="true" outlineLevel="0" collapsed="false">
      <c r="A33" s="24" t="n">
        <f aca="false">MAX($A$2:A32)+0.01</f>
        <v>3.02</v>
      </c>
      <c r="B33" s="24" t="s">
        <v>230</v>
      </c>
      <c r="C33" s="24"/>
      <c r="D33" s="24"/>
      <c r="E33" s="24"/>
      <c r="F33" s="24"/>
      <c r="G33" s="24"/>
      <c r="H33" s="24"/>
      <c r="I33" s="24"/>
      <c r="J33" s="24"/>
      <c r="K33" s="24"/>
      <c r="L33" s="24"/>
      <c r="M33" s="24"/>
      <c r="N33" s="24"/>
      <c r="O33" s="24"/>
      <c r="P33" s="24"/>
      <c r="Q33" s="24"/>
      <c r="R33" s="24"/>
      <c r="S33" s="24"/>
    </row>
    <row r="34" customFormat="false" ht="15" hidden="false" customHeight="true" outlineLevel="0" collapsed="false"/>
    <row r="35" customFormat="false" ht="14.25" hidden="false" customHeight="true" outlineLevel="0" collapsed="false">
      <c r="B35" s="0" t="s">
        <v>168</v>
      </c>
      <c r="C35" s="0" t="s">
        <v>121</v>
      </c>
      <c r="E35" s="32" t="n">
        <f aca="false">E20</f>
        <v>8850.87842039801</v>
      </c>
      <c r="F35" s="32" t="n">
        <f aca="false">F20</f>
        <v>8917.21351915392</v>
      </c>
      <c r="G35" s="32" t="n">
        <f aca="false">G20</f>
        <v>8947.59736593092</v>
      </c>
      <c r="H35" s="32" t="n">
        <f aca="false">H20</f>
        <v>8897.08062591627</v>
      </c>
      <c r="I35" s="32" t="n">
        <f aca="false">I20</f>
        <v>8809.92255280811</v>
      </c>
      <c r="J35" s="32" t="n">
        <f aca="false">J20</f>
        <v>8686.76583591644</v>
      </c>
      <c r="K35" s="32" t="n">
        <f aca="false">K20</f>
        <v>8528.74059796407</v>
      </c>
      <c r="L35" s="32" t="n">
        <f aca="false">L20</f>
        <v>8875.90775543854</v>
      </c>
      <c r="M35" s="32" t="n">
        <f aca="false">M20</f>
        <v>9115.34739707605</v>
      </c>
      <c r="N35" s="32" t="n">
        <f aca="false">N20</f>
        <v>7863.32718862893</v>
      </c>
      <c r="O35" s="32" t="n">
        <f aca="false">O20</f>
        <v>2224.35144706998</v>
      </c>
      <c r="P35" s="32" t="n">
        <f aca="false">P20</f>
        <v>1896.43205208315</v>
      </c>
      <c r="Q35" s="32" t="n">
        <f aca="false">Q20</f>
        <v>1548.11965916192</v>
      </c>
      <c r="R35" s="32" t="n">
        <f aca="false">R20</f>
        <v>1182.60962014306</v>
      </c>
      <c r="S35" s="32" t="n">
        <f aca="false">S20</f>
        <v>803.141116436907</v>
      </c>
    </row>
    <row r="36" customFormat="false" ht="14.25" hidden="false" customHeight="true" outlineLevel="0" collapsed="false">
      <c r="B36" s="8" t="s">
        <v>171</v>
      </c>
      <c r="C36" s="29" t="s">
        <v>121</v>
      </c>
      <c r="E36" s="82" t="n">
        <f aca="false">Calcs!E79</f>
        <v>-10.628240377062</v>
      </c>
      <c r="F36" s="82" t="n">
        <f aca="false">Calcs!F79</f>
        <v>-7.14948761112328</v>
      </c>
      <c r="G36" s="82" t="n">
        <f aca="false">Calcs!G79</f>
        <v>-3.52878815128111</v>
      </c>
      <c r="H36" s="82" t="n">
        <f aca="false">Calcs!H79</f>
        <v>4.7194637571954</v>
      </c>
      <c r="I36" s="82" t="n">
        <f aca="false">Calcs!I79</f>
        <v>8.41349571125409</v>
      </c>
      <c r="J36" s="82" t="n">
        <f aca="false">Calcs!J79</f>
        <v>12.0423871177085</v>
      </c>
      <c r="K36" s="82" t="n">
        <f aca="false">Calcs!K79</f>
        <v>15.5568771576893</v>
      </c>
      <c r="L36" s="82" t="n">
        <f aca="false">Calcs!L79</f>
        <v>-35.5034136062134</v>
      </c>
      <c r="M36" s="82" t="n">
        <f aca="false">Calcs!M79</f>
        <v>-24.6267429592028</v>
      </c>
      <c r="N36" s="82" t="n">
        <f aca="false">Calcs!N79</f>
        <v>126.079508202174</v>
      </c>
      <c r="O36" s="82" t="n">
        <f aca="false">Calcs!O79</f>
        <v>569.382999798292</v>
      </c>
      <c r="P36" s="82" t="n">
        <f aca="false">Calcs!P79</f>
        <v>32.6766469014473</v>
      </c>
      <c r="Q36" s="82" t="n">
        <f aca="false">Calcs!Q79</f>
        <v>34.7270524130773</v>
      </c>
      <c r="R36" s="82" t="n">
        <f aca="false">Calcs!R79</f>
        <v>36.4543260993854</v>
      </c>
      <c r="S36" s="82" t="n">
        <f aca="false">Calcs!S79</f>
        <v>37.8540336215685</v>
      </c>
    </row>
    <row r="37" customFormat="false" ht="14.25" hidden="false" customHeight="true" outlineLevel="0" collapsed="false">
      <c r="B37" s="8" t="s">
        <v>231</v>
      </c>
      <c r="C37" s="29" t="s">
        <v>121</v>
      </c>
      <c r="E37" s="82" t="n">
        <f aca="false">-Calcs!E145</f>
        <v>-571.492500821777</v>
      </c>
      <c r="F37" s="82" t="n">
        <f aca="false">-Calcs!F145</f>
        <v>-620.359376865491</v>
      </c>
      <c r="G37" s="82" t="n">
        <f aca="false">-Calcs!G145</f>
        <v>-638.53726780124</v>
      </c>
      <c r="H37" s="82" t="n">
        <f aca="false">-Calcs!H145</f>
        <v>-637.18872733588</v>
      </c>
      <c r="I37" s="82" t="n">
        <f aca="false">-Calcs!I145</f>
        <v>-637.08166031585</v>
      </c>
      <c r="J37" s="82" t="n">
        <f aca="false">-Calcs!J145</f>
        <v>-647.038197729156</v>
      </c>
      <c r="K37" s="82" t="n">
        <f aca="false">-Calcs!K145</f>
        <v>-662.357858266052</v>
      </c>
      <c r="L37" s="82" t="n">
        <f aca="false">-Calcs!L145</f>
        <v>-808.456466093732</v>
      </c>
      <c r="M37" s="82" t="n">
        <f aca="false">-Calcs!M145</f>
        <v>-937.071076183462</v>
      </c>
      <c r="N37" s="82" t="n">
        <f aca="false">-Calcs!N145</f>
        <v>-697.912023451733</v>
      </c>
      <c r="O37" s="82" t="n">
        <f aca="false">-Calcs!O145</f>
        <v>-0</v>
      </c>
      <c r="P37" s="82" t="n">
        <f aca="false">-Calcs!P145</f>
        <v>-0</v>
      </c>
      <c r="Q37" s="82" t="n">
        <f aca="false">-Calcs!Q145</f>
        <v>-0</v>
      </c>
      <c r="R37" s="82" t="n">
        <f aca="false">-Calcs!R145</f>
        <v>-0</v>
      </c>
      <c r="S37" s="82" t="n">
        <f aca="false">-Calcs!S145</f>
        <v>-0</v>
      </c>
    </row>
    <row r="38" customFormat="false" ht="14.25" hidden="false" customHeight="true" outlineLevel="0" collapsed="false">
      <c r="B38" s="8" t="s">
        <v>232</v>
      </c>
      <c r="C38" s="29" t="s">
        <v>121</v>
      </c>
      <c r="D38" s="81"/>
      <c r="E38" s="76" t="n">
        <f aca="false">SUM(E35:E37)</f>
        <v>8268.75767919917</v>
      </c>
      <c r="F38" s="76" t="n">
        <f aca="false">SUM(F35:F37)</f>
        <v>8289.7046546773</v>
      </c>
      <c r="G38" s="76" t="n">
        <f aca="false">SUM(G35:G37)</f>
        <v>8305.5313099784</v>
      </c>
      <c r="H38" s="76" t="n">
        <f aca="false">SUM(H35:H37)</f>
        <v>8264.61136233759</v>
      </c>
      <c r="I38" s="76" t="n">
        <f aca="false">SUM(I35:I37)</f>
        <v>8181.25438820352</v>
      </c>
      <c r="J38" s="76" t="n">
        <f aca="false">SUM(J35:J37)</f>
        <v>8051.77002530499</v>
      </c>
      <c r="K38" s="76" t="n">
        <f aca="false">SUM(K35:K37)</f>
        <v>7881.93961685571</v>
      </c>
      <c r="L38" s="76" t="n">
        <f aca="false">SUM(L35:L37)</f>
        <v>8031.94787573859</v>
      </c>
      <c r="M38" s="76" t="n">
        <f aca="false">SUM(M35:M37)</f>
        <v>8153.64957793338</v>
      </c>
      <c r="N38" s="76" t="n">
        <f aca="false">SUM(N35:N37)</f>
        <v>7291.49467337937</v>
      </c>
      <c r="O38" s="76" t="n">
        <f aca="false">SUM(O35:O37)</f>
        <v>2793.73444686827</v>
      </c>
      <c r="P38" s="76" t="n">
        <f aca="false">SUM(P35:P37)</f>
        <v>1929.10869898459</v>
      </c>
      <c r="Q38" s="76" t="n">
        <f aca="false">SUM(Q35:Q37)</f>
        <v>1582.846711575</v>
      </c>
      <c r="R38" s="76" t="n">
        <f aca="false">SUM(R35:R37)</f>
        <v>1219.06394624245</v>
      </c>
      <c r="S38" s="76" t="n">
        <f aca="false">SUM(S35:S37)</f>
        <v>840.995150058475</v>
      </c>
    </row>
    <row r="40" customFormat="false" ht="14.25" hidden="false" customHeight="true" outlineLevel="0" collapsed="false">
      <c r="B40" s="8" t="s">
        <v>206</v>
      </c>
      <c r="C40" s="29" t="s">
        <v>121</v>
      </c>
      <c r="E40" s="82" t="n">
        <f aca="false">-Calcs!E103</f>
        <v>-1979.50428581257</v>
      </c>
      <c r="F40" s="82" t="n">
        <f aca="false">-Calcs!F103</f>
        <v>-1850.37188039362</v>
      </c>
      <c r="G40" s="82" t="n">
        <f aca="false">-Calcs!G103</f>
        <v>-1808.04416342762</v>
      </c>
      <c r="H40" s="82" t="n">
        <f aca="false">-Calcs!H103</f>
        <v>-1762.92158527442</v>
      </c>
      <c r="I40" s="82" t="n">
        <f aca="false">-Calcs!I103</f>
        <v>-1676.19178024638</v>
      </c>
      <c r="J40" s="82" t="n">
        <f aca="false">-Calcs!J103</f>
        <v>-1513.20891370148</v>
      </c>
      <c r="K40" s="82" t="n">
        <f aca="false">-Calcs!K103</f>
        <v>-1293.90503360153</v>
      </c>
      <c r="L40" s="82" t="n">
        <f aca="false">-Calcs!L103</f>
        <v>-1056.67775976528</v>
      </c>
      <c r="M40" s="82" t="n">
        <f aca="false">-Calcs!M103</f>
        <v>-781.658961043867</v>
      </c>
      <c r="N40" s="82" t="n">
        <f aca="false">-Calcs!N103</f>
        <v>-486.274963523665</v>
      </c>
      <c r="O40" s="82" t="n">
        <f aca="false">-Calcs!O103</f>
        <v>-193.638767230638</v>
      </c>
      <c r="P40" s="82" t="n">
        <f aca="false">-Calcs!P103</f>
        <v>-80.8956726724161</v>
      </c>
      <c r="Q40" s="82" t="n">
        <f aca="false">-Calcs!Q103</f>
        <v>-0</v>
      </c>
      <c r="R40" s="82" t="n">
        <f aca="false">-Calcs!R103</f>
        <v>-0</v>
      </c>
      <c r="S40" s="82" t="n">
        <f aca="false">-Calcs!S103</f>
        <v>-0</v>
      </c>
    </row>
    <row r="41" customFormat="false" ht="14.25" hidden="false" customHeight="true" outlineLevel="0" collapsed="false">
      <c r="B41" s="8" t="s">
        <v>233</v>
      </c>
      <c r="C41" s="29" t="s">
        <v>121</v>
      </c>
      <c r="E41" s="82" t="n">
        <f aca="false">-Calcs!E105</f>
        <v>-4381.078544</v>
      </c>
      <c r="F41" s="82" t="n">
        <f aca="false">-Calcs!F105</f>
        <v>-4526.324008</v>
      </c>
      <c r="G41" s="82" t="n">
        <f aca="false">-Calcs!G105</f>
        <v>-4580.826075</v>
      </c>
      <c r="H41" s="82" t="n">
        <f aca="false">-Calcs!H105</f>
        <v>-4594.47177</v>
      </c>
      <c r="I41" s="82" t="n">
        <f aca="false">-Calcs!I105</f>
        <v>-4617.080826</v>
      </c>
      <c r="J41" s="82" t="n">
        <f aca="false">-Calcs!J105</f>
        <v>-4680.460337</v>
      </c>
      <c r="K41" s="82" t="n">
        <f aca="false">-Calcs!K105</f>
        <v>-4769.125441</v>
      </c>
      <c r="L41" s="82" t="n">
        <f aca="false">-Calcs!L105</f>
        <v>-5121.743683</v>
      </c>
      <c r="M41" s="82" t="n">
        <f aca="false">-Calcs!M105</f>
        <v>-5490.379176</v>
      </c>
      <c r="N41" s="82" t="n">
        <f aca="false">-Calcs!N105</f>
        <v>-5122.567093</v>
      </c>
      <c r="O41" s="82" t="n">
        <f aca="false">-Calcs!O105</f>
        <v>-1955.38773</v>
      </c>
      <c r="P41" s="82" t="n">
        <f aca="false">-Calcs!P105</f>
        <v>-1403.034096</v>
      </c>
      <c r="Q41" s="82" t="n">
        <f aca="false">-Calcs!Q105</f>
        <v>-0</v>
      </c>
      <c r="R41" s="82" t="n">
        <f aca="false">-Calcs!R105</f>
        <v>-0</v>
      </c>
      <c r="S41" s="82" t="n">
        <f aca="false">-Calcs!S105</f>
        <v>-0</v>
      </c>
    </row>
    <row r="42" customFormat="false" ht="14.25" hidden="false" customHeight="true" outlineLevel="0" collapsed="false">
      <c r="B42" s="8" t="s">
        <v>234</v>
      </c>
      <c r="C42" s="29" t="s">
        <v>121</v>
      </c>
      <c r="D42" s="81"/>
      <c r="E42" s="76" t="n">
        <f aca="false">SUM(E40:E41)</f>
        <v>-6360.58282981257</v>
      </c>
      <c r="F42" s="76" t="n">
        <f aca="false">SUM(F40:F41)</f>
        <v>-6376.69588839362</v>
      </c>
      <c r="G42" s="76" t="n">
        <f aca="false">SUM(G40:G41)</f>
        <v>-6388.87023842762</v>
      </c>
      <c r="H42" s="76" t="n">
        <f aca="false">SUM(H40:H41)</f>
        <v>-6357.39335527442</v>
      </c>
      <c r="I42" s="76" t="n">
        <f aca="false">SUM(I40:I41)</f>
        <v>-6293.27260624638</v>
      </c>
      <c r="J42" s="76" t="n">
        <f aca="false">SUM(J40:J41)</f>
        <v>-6193.66925070148</v>
      </c>
      <c r="K42" s="76" t="n">
        <f aca="false">SUM(K40:K41)</f>
        <v>-6063.03047460153</v>
      </c>
      <c r="L42" s="76" t="n">
        <f aca="false">SUM(L40:L41)</f>
        <v>-6178.42144276528</v>
      </c>
      <c r="M42" s="76" t="n">
        <f aca="false">SUM(M40:M41)</f>
        <v>-6272.03813704387</v>
      </c>
      <c r="N42" s="76" t="n">
        <f aca="false">SUM(N40:N41)</f>
        <v>-5608.84205652367</v>
      </c>
      <c r="O42" s="76" t="n">
        <f aca="false">SUM(O40:O41)</f>
        <v>-2149.02649723064</v>
      </c>
      <c r="P42" s="76" t="n">
        <f aca="false">SUM(P40:P41)</f>
        <v>-1483.92976867242</v>
      </c>
      <c r="Q42" s="76" t="n">
        <f aca="false">SUM(Q40:Q41)</f>
        <v>0</v>
      </c>
      <c r="R42" s="76" t="n">
        <f aca="false">SUM(R40:R41)</f>
        <v>0</v>
      </c>
      <c r="S42" s="76" t="n">
        <f aca="false">SUM(S40:S41)</f>
        <v>0</v>
      </c>
    </row>
    <row r="43" customFormat="false" ht="14.25" hidden="false" customHeight="true" outlineLevel="0" collapsed="false">
      <c r="B43" s="8" t="s">
        <v>191</v>
      </c>
      <c r="C43" s="29" t="s">
        <v>111</v>
      </c>
      <c r="E43" s="80" t="n">
        <f aca="false">IF(E42=0,"n/a",-E38/E42)</f>
        <v>1.30000000006962</v>
      </c>
      <c r="F43" s="80" t="n">
        <f aca="false">IF(F42=0,"n/a",-F38/F42)</f>
        <v>1.29999999996324</v>
      </c>
      <c r="G43" s="80" t="n">
        <f aca="false">IF(G42=0,"n/a",-G38/G42)</f>
        <v>1.30000000000352</v>
      </c>
      <c r="H43" s="80" t="n">
        <f aca="false">IF(H42=0,"n/a",-H38/H42)</f>
        <v>1.30000000007564</v>
      </c>
      <c r="I43" s="80" t="n">
        <f aca="false">IF(I42=0,"n/a",-I38/I42)</f>
        <v>1.30000000001322</v>
      </c>
      <c r="J43" s="80" t="n">
        <f aca="false">IF(J42=0,"n/a",-J38/J42)</f>
        <v>1.29999999990201</v>
      </c>
      <c r="K43" s="80" t="n">
        <f aca="false">IF(K42=0,"n/a",-K38/K42)</f>
        <v>1.29999999997917</v>
      </c>
      <c r="L43" s="80" t="n">
        <f aca="false">IF(L42=0,"n/a",-L38/L42)</f>
        <v>1.30000000002326</v>
      </c>
      <c r="M43" s="80" t="n">
        <f aca="false">IF(M42=0,"n/a",-M38/M42)</f>
        <v>1.29999999996434</v>
      </c>
      <c r="N43" s="80" t="n">
        <f aca="false">IF(N42=0,"n/a",-N38/N42)</f>
        <v>1.29999999998192</v>
      </c>
      <c r="O43" s="80" t="n">
        <f aca="false">IF(O42=0,"n/a",-O38/O42)</f>
        <v>1.30000000021798</v>
      </c>
      <c r="P43" s="80" t="n">
        <f aca="false">IF(P42=0,"n/a",-P38/P42)</f>
        <v>1.29999999980488</v>
      </c>
      <c r="Q43" s="80" t="str">
        <f aca="false">IF(Q42=0,"n/a",-Q38/Q42)</f>
        <v>n/a</v>
      </c>
      <c r="R43" s="80" t="str">
        <f aca="false">IF(R42=0,"n/a",-R38/R42)</f>
        <v>n/a</v>
      </c>
      <c r="S43" s="80" t="str">
        <f aca="false">IF(S42=0,"n/a",-S38/S42)</f>
        <v>n/a</v>
      </c>
    </row>
    <row r="45" customFormat="false" ht="15" hidden="false" customHeight="true" outlineLevel="0" collapsed="false">
      <c r="B45" s="8" t="s">
        <v>235</v>
      </c>
      <c r="C45" s="29" t="s">
        <v>121</v>
      </c>
      <c r="E45" s="32" t="n">
        <f aca="false">$D$74</f>
        <v>3500</v>
      </c>
      <c r="F45" s="32" t="n">
        <v>0</v>
      </c>
      <c r="G45" s="32" t="n">
        <v>0</v>
      </c>
      <c r="H45" s="32" t="n">
        <v>0</v>
      </c>
      <c r="I45" s="32" t="n">
        <v>0</v>
      </c>
      <c r="J45" s="32" t="n">
        <v>0</v>
      </c>
      <c r="K45" s="32" t="n">
        <v>0</v>
      </c>
      <c r="L45" s="32" t="n">
        <v>0</v>
      </c>
      <c r="M45" s="32" t="n">
        <v>0</v>
      </c>
      <c r="N45" s="32" t="n">
        <v>0</v>
      </c>
      <c r="O45" s="32" t="n">
        <v>0</v>
      </c>
      <c r="P45" s="32" t="n">
        <v>0</v>
      </c>
      <c r="Q45" s="32" t="n">
        <v>0</v>
      </c>
      <c r="R45" s="32" t="n">
        <v>0</v>
      </c>
      <c r="S45" s="32" t="n">
        <v>0</v>
      </c>
    </row>
    <row r="46" customFormat="false" ht="15" hidden="false" customHeight="true" outlineLevel="0" collapsed="false">
      <c r="B46" s="88" t="s">
        <v>236</v>
      </c>
      <c r="C46" s="89" t="s">
        <v>121</v>
      </c>
      <c r="D46" s="90"/>
      <c r="E46" s="76" t="n">
        <f aca="false">E38+E42+E45</f>
        <v>5408.1748493866</v>
      </c>
      <c r="F46" s="76" t="n">
        <f aca="false">F38+F42+F45</f>
        <v>1913.00876628368</v>
      </c>
      <c r="G46" s="76" t="n">
        <f aca="false">G38+G42+G45</f>
        <v>1916.66107155077</v>
      </c>
      <c r="H46" s="76" t="n">
        <f aca="false">H38+H42+H45</f>
        <v>1907.21800706317</v>
      </c>
      <c r="I46" s="76" t="n">
        <f aca="false">I38+I42+I45</f>
        <v>1887.98178195714</v>
      </c>
      <c r="J46" s="76" t="n">
        <f aca="false">J38+J42+J45</f>
        <v>1858.10077460351</v>
      </c>
      <c r="K46" s="76" t="n">
        <f aca="false">K38+K42+K45</f>
        <v>1818.90914225418</v>
      </c>
      <c r="L46" s="76" t="n">
        <f aca="false">L38+L42+L45</f>
        <v>1853.52643297332</v>
      </c>
      <c r="M46" s="76" t="n">
        <f aca="false">M38+M42+M45</f>
        <v>1881.61144088952</v>
      </c>
      <c r="N46" s="76" t="n">
        <f aca="false">N38+N42+N45</f>
        <v>1682.65261685571</v>
      </c>
      <c r="O46" s="76" t="n">
        <f aca="false">O38+O42+O45</f>
        <v>644.707949637632</v>
      </c>
      <c r="P46" s="76" t="n">
        <f aca="false">P38+P42+P45</f>
        <v>445.178930312177</v>
      </c>
      <c r="Q46" s="76" t="n">
        <f aca="false">Q38+Q42+Q45</f>
        <v>1582.846711575</v>
      </c>
      <c r="R46" s="76" t="n">
        <f aca="false">R38+R42+R45</f>
        <v>1219.06394624245</v>
      </c>
      <c r="S46" s="76" t="n">
        <f aca="false">S38+S42+S45</f>
        <v>840.995150058475</v>
      </c>
    </row>
    <row r="47" customFormat="false" ht="15" hidden="false" customHeight="true" outlineLevel="0" collapsed="false">
      <c r="B47" s="8" t="s">
        <v>237</v>
      </c>
      <c r="C47" s="29" t="s">
        <v>121</v>
      </c>
      <c r="D47" s="77" t="n">
        <f aca="false">-D56</f>
        <v>-14799.8734926574</v>
      </c>
      <c r="E47" s="77" t="n">
        <f aca="false">E46</f>
        <v>5408.1748493866</v>
      </c>
      <c r="F47" s="77" t="n">
        <f aca="false">F46</f>
        <v>1913.00876628368</v>
      </c>
      <c r="G47" s="77" t="n">
        <f aca="false">G46</f>
        <v>1916.66107155077</v>
      </c>
      <c r="H47" s="77" t="n">
        <f aca="false">H46</f>
        <v>1907.21800706317</v>
      </c>
      <c r="I47" s="77" t="n">
        <f aca="false">I46</f>
        <v>1887.98178195714</v>
      </c>
      <c r="J47" s="77" t="n">
        <f aca="false">J46</f>
        <v>1858.10077460351</v>
      </c>
      <c r="K47" s="77" t="n">
        <f aca="false">K46</f>
        <v>1818.90914225418</v>
      </c>
      <c r="L47" s="77" t="n">
        <f aca="false">L46</f>
        <v>1853.52643297332</v>
      </c>
      <c r="M47" s="77" t="n">
        <f aca="false">M46</f>
        <v>1881.61144088952</v>
      </c>
      <c r="N47" s="77" t="n">
        <f aca="false">N46</f>
        <v>1682.65261685571</v>
      </c>
      <c r="O47" s="77" t="n">
        <f aca="false">O46</f>
        <v>644.707949637632</v>
      </c>
      <c r="P47" s="77" t="n">
        <f aca="false">P46</f>
        <v>445.178930312177</v>
      </c>
      <c r="Q47" s="77" t="n">
        <f aca="false">Q46</f>
        <v>1582.846711575</v>
      </c>
      <c r="R47" s="77" t="n">
        <f aca="false">R46</f>
        <v>1219.06394624245</v>
      </c>
      <c r="S47" s="77" t="n">
        <f aca="false">S46</f>
        <v>840.995150058475</v>
      </c>
    </row>
    <row r="49" customFormat="false" ht="17.25" hidden="false" customHeight="true" outlineLevel="0" collapsed="false">
      <c r="A49" s="24" t="n">
        <f aca="false">MAX($A$2:A47)+0.01</f>
        <v>3.03</v>
      </c>
      <c r="B49" s="24" t="s">
        <v>238</v>
      </c>
      <c r="C49" s="24"/>
      <c r="D49" s="24"/>
      <c r="E49" s="24"/>
      <c r="F49" s="24"/>
      <c r="G49" s="24"/>
      <c r="H49" s="24"/>
      <c r="I49" s="24"/>
      <c r="J49" s="24"/>
      <c r="K49" s="24"/>
      <c r="L49" s="24"/>
      <c r="M49" s="24"/>
      <c r="N49" s="24"/>
      <c r="O49" s="24"/>
      <c r="P49" s="24"/>
      <c r="Q49" s="24"/>
      <c r="R49" s="24"/>
      <c r="S49" s="24"/>
    </row>
    <row r="50" customFormat="false" ht="15" hidden="false" customHeight="true" outlineLevel="0" collapsed="false"/>
    <row r="51" customFormat="false" ht="14.25" hidden="false" customHeight="true" outlineLevel="0" collapsed="false">
      <c r="B51" s="46" t="s">
        <v>239</v>
      </c>
      <c r="C51" s="36"/>
    </row>
    <row r="52" customFormat="false" ht="14.25" hidden="false" customHeight="true" outlineLevel="0" collapsed="false">
      <c r="B52" s="8" t="s">
        <v>240</v>
      </c>
      <c r="C52" s="29" t="s">
        <v>121</v>
      </c>
      <c r="D52" s="91" t="n">
        <f aca="false">NPV(Assumptions!$D$93,E46:S46)+Calcs!$D$98-Calcs!$D$99-Assumptions!$D$92</f>
        <v>64517.5026960775</v>
      </c>
    </row>
    <row r="53" customFormat="false" ht="14.25" hidden="false" customHeight="true" outlineLevel="0" collapsed="false">
      <c r="B53" s="8" t="s">
        <v>241</v>
      </c>
      <c r="C53" s="29" t="s">
        <v>121</v>
      </c>
      <c r="D53" s="82" t="n">
        <f aca="false">Assumptions!$D$92</f>
        <v>500</v>
      </c>
    </row>
    <row r="54" customFormat="false" ht="14.25" hidden="false" customHeight="true" outlineLevel="0" collapsed="false">
      <c r="B54" s="8" t="s">
        <v>242</v>
      </c>
      <c r="C54" s="29" t="s">
        <v>121</v>
      </c>
      <c r="D54" s="82" t="n">
        <f aca="false">Calcs!$D$99</f>
        <v>1024.84957558</v>
      </c>
    </row>
    <row r="55" customFormat="false" ht="14.25" hidden="false" customHeight="true" outlineLevel="0" collapsed="false">
      <c r="B55" s="8" t="s">
        <v>243</v>
      </c>
      <c r="C55" s="29" t="s">
        <v>121</v>
      </c>
      <c r="D55" s="82" t="n">
        <f aca="false">-Calcs!$D$98</f>
        <v>-51242.478779</v>
      </c>
    </row>
    <row r="56" customFormat="false" ht="14.25" hidden="false" customHeight="true" outlineLevel="0" collapsed="false">
      <c r="B56" s="8" t="s">
        <v>244</v>
      </c>
      <c r="C56" s="29" t="s">
        <v>121</v>
      </c>
      <c r="D56" s="76" t="n">
        <f aca="false">SUM(D52:D55)</f>
        <v>14799.8734926574</v>
      </c>
    </row>
    <row r="57" customFormat="false" ht="14.25" hidden="false" customHeight="true" outlineLevel="0" collapsed="false">
      <c r="B57" s="0" t="s">
        <v>245</v>
      </c>
      <c r="C57" s="0" t="s">
        <v>54</v>
      </c>
      <c r="D57" s="92" t="n">
        <f aca="false">IRR(D47:S47)</f>
        <v>0.12</v>
      </c>
    </row>
    <row r="58" customFormat="false" ht="14.25" hidden="false" customHeight="true" outlineLevel="0" collapsed="false">
      <c r="B58" s="8" t="s">
        <v>246</v>
      </c>
      <c r="C58" s="29" t="s">
        <v>111</v>
      </c>
      <c r="D58" s="80" t="n">
        <f aca="false">SUM(E47:S47)/-D47</f>
        <v>1.81492345762074</v>
      </c>
    </row>
    <row r="59" customFormat="false" ht="14.25" hidden="false" customHeight="true" outlineLevel="0" collapsed="false">
      <c r="B59" s="8" t="s">
        <v>247</v>
      </c>
      <c r="C59" s="29" t="s">
        <v>121</v>
      </c>
      <c r="D59" s="77" t="n">
        <f aca="false">D52-D74</f>
        <v>61017.5026960775</v>
      </c>
    </row>
    <row r="60" customFormat="false" ht="14.25" hidden="false" customHeight="true" outlineLevel="0" collapsed="false">
      <c r="B60" s="35" t="s">
        <v>248</v>
      </c>
      <c r="C60" s="36"/>
    </row>
    <row r="62" customFormat="false" ht="14.25" hidden="false" customHeight="true" outlineLevel="0" collapsed="false">
      <c r="B62" s="8" t="s">
        <v>249</v>
      </c>
      <c r="C62" s="29" t="s">
        <v>94</v>
      </c>
      <c r="D62" s="93" t="n">
        <f aca="false">Assumptions!$D$95</f>
        <v>2014</v>
      </c>
    </row>
    <row r="63" customFormat="false" ht="14.25" hidden="false" customHeight="true" outlineLevel="0" collapsed="false">
      <c r="B63" s="8" t="s">
        <v>250</v>
      </c>
      <c r="C63" s="29" t="s">
        <v>54</v>
      </c>
      <c r="D63" s="94" t="n">
        <f aca="false">Assumptions!$D$96</f>
        <v>0.11</v>
      </c>
    </row>
    <row r="64" customFormat="false" ht="14.25" hidden="false" customHeight="true" outlineLevel="0" collapsed="false">
      <c r="B64" s="8" t="s">
        <v>251</v>
      </c>
      <c r="C64" s="29" t="s">
        <v>121</v>
      </c>
      <c r="D64" s="32" t="n">
        <f aca="false">NPV(D63,G46:S46)</f>
        <v>11062.0283953259</v>
      </c>
    </row>
    <row r="65" customFormat="false" ht="14.25" hidden="false" customHeight="true" outlineLevel="0" collapsed="false">
      <c r="B65" s="8" t="s">
        <v>252</v>
      </c>
      <c r="C65" s="29" t="s">
        <v>121</v>
      </c>
      <c r="D65" s="82" t="n">
        <f aca="false">Calcs!F106</f>
        <v>42335.076227</v>
      </c>
    </row>
    <row r="66" customFormat="false" ht="14.25" hidden="false" customHeight="true" outlineLevel="0" collapsed="false">
      <c r="B66" s="8" t="s">
        <v>253</v>
      </c>
      <c r="C66" s="29" t="s">
        <v>121</v>
      </c>
      <c r="D66" s="77" t="n">
        <f aca="false">D64+D65</f>
        <v>53397.1046223259</v>
      </c>
    </row>
    <row r="67" customFormat="false" ht="14.25" hidden="false" customHeight="true" outlineLevel="0" collapsed="false">
      <c r="B67" s="8" t="s">
        <v>254</v>
      </c>
      <c r="C67" s="29" t="s">
        <v>121</v>
      </c>
      <c r="D67" s="32" t="n">
        <f aca="false">-Assumptions!$D$97*D66</f>
        <v>-133.492761555815</v>
      </c>
    </row>
    <row r="68" customFormat="false" ht="14.25" hidden="false" customHeight="true" outlineLevel="0" collapsed="false">
      <c r="B68" s="8" t="s">
        <v>255</v>
      </c>
      <c r="C68" s="29" t="s">
        <v>121</v>
      </c>
      <c r="D68" s="77" t="n">
        <f aca="false">D64+D67</f>
        <v>10928.5356337701</v>
      </c>
    </row>
    <row r="69" customFormat="false" ht="14.25" hidden="false" customHeight="true" outlineLevel="0" collapsed="false">
      <c r="B69" s="8" t="s">
        <v>256</v>
      </c>
      <c r="C69" s="29" t="s">
        <v>54</v>
      </c>
      <c r="D69" s="94" t="n">
        <f aca="false">Analysis!$D$90</f>
        <v>0.131953208102614</v>
      </c>
    </row>
    <row r="70" customFormat="false" ht="17.25" hidden="false" customHeight="true" outlineLevel="0" collapsed="false">
      <c r="A70" s="24" t="n">
        <f aca="false">MAX($A$2:A67)+0.01</f>
        <v>3.04</v>
      </c>
      <c r="B70" s="24" t="s">
        <v>257</v>
      </c>
      <c r="C70" s="24"/>
      <c r="D70" s="24"/>
      <c r="E70" s="24"/>
      <c r="F70" s="24"/>
      <c r="G70" s="24"/>
      <c r="H70" s="24"/>
      <c r="I70" s="24"/>
      <c r="J70" s="24"/>
      <c r="K70" s="24"/>
      <c r="L70" s="24"/>
      <c r="M70" s="24"/>
      <c r="N70" s="24"/>
      <c r="O70" s="24"/>
      <c r="P70" s="24"/>
      <c r="Q70" s="24"/>
      <c r="R70" s="24"/>
      <c r="S70" s="24"/>
    </row>
    <row r="71" customFormat="false" ht="15" hidden="false" customHeight="true" outlineLevel="0" collapsed="false"/>
    <row r="72" customFormat="false" ht="14.25" hidden="false" customHeight="true" outlineLevel="0" collapsed="false">
      <c r="B72" s="95" t="s">
        <v>258</v>
      </c>
    </row>
    <row r="74" customFormat="false" ht="14.25" hidden="false" customHeight="true" outlineLevel="0" collapsed="false">
      <c r="B74" s="0" t="s">
        <v>259</v>
      </c>
      <c r="C74" s="0" t="s">
        <v>121</v>
      </c>
      <c r="D74" s="26" t="n">
        <v>3500</v>
      </c>
      <c r="E74" s="32" t="n">
        <f aca="false">D74+E38+E42-E46</f>
        <v>0</v>
      </c>
      <c r="F74" s="32" t="n">
        <f aca="false">E74+F38+F42-F46</f>
        <v>0</v>
      </c>
      <c r="G74" s="32" t="n">
        <f aca="false">F74+G38+G42-G46</f>
        <v>0</v>
      </c>
      <c r="H74" s="32" t="n">
        <f aca="false">G74+H38+H42-H46</f>
        <v>0</v>
      </c>
      <c r="I74" s="32" t="n">
        <f aca="false">H74+I38+I42-I46</f>
        <v>0</v>
      </c>
      <c r="J74" s="32" t="n">
        <f aca="false">I74+J38+J42-J46</f>
        <v>0</v>
      </c>
      <c r="K74" s="32" t="n">
        <f aca="false">J74+K38+K42-K46</f>
        <v>0</v>
      </c>
      <c r="L74" s="32" t="n">
        <f aca="false">K74+L38+L42-L46</f>
        <v>0</v>
      </c>
      <c r="M74" s="32" t="n">
        <f aca="false">L74+M38+M42-M46</f>
        <v>0</v>
      </c>
      <c r="N74" s="32" t="n">
        <f aca="false">M74+N38+N42-N46</f>
        <v>0</v>
      </c>
      <c r="O74" s="32" t="n">
        <f aca="false">N74+O38+O42-O46</f>
        <v>0</v>
      </c>
      <c r="P74" s="32" t="n">
        <f aca="false">O74+P38+P42-P46</f>
        <v>0</v>
      </c>
      <c r="Q74" s="32" t="n">
        <f aca="false">P74+Q38+Q42-Q46</f>
        <v>0</v>
      </c>
      <c r="R74" s="32" t="n">
        <f aca="false">Q74+R38+R42-R46</f>
        <v>0</v>
      </c>
      <c r="S74" s="32" t="n">
        <f aca="false">R74+S38+S42-S46</f>
        <v>0</v>
      </c>
      <c r="T74" s="29"/>
      <c r="U74" s="29" t="s">
        <v>260</v>
      </c>
    </row>
    <row r="75" customFormat="false" ht="14.25" hidden="false" customHeight="true" outlineLevel="0" collapsed="false">
      <c r="B75" s="0" t="s">
        <v>176</v>
      </c>
      <c r="C75" s="0" t="s">
        <v>121</v>
      </c>
      <c r="D75" s="26" t="n">
        <v>1200</v>
      </c>
      <c r="E75" s="82" t="n">
        <f aca="false">Calcs!E76</f>
        <v>1218.87824037706</v>
      </c>
      <c r="F75" s="82" t="n">
        <f aca="false">Calcs!F76</f>
        <v>1234.50460298819</v>
      </c>
      <c r="G75" s="82" t="n">
        <f aca="false">Calcs!G76</f>
        <v>1246.74338020197</v>
      </c>
      <c r="H75" s="82" t="n">
        <f aca="false">Calcs!H76</f>
        <v>1249.34624588618</v>
      </c>
      <c r="I75" s="82" t="n">
        <f aca="false">Calcs!I76</f>
        <v>1248.41983202876</v>
      </c>
      <c r="J75" s="82" t="n">
        <f aca="false">Calcs!J76</f>
        <v>1244.0329861066</v>
      </c>
      <c r="K75" s="82" t="n">
        <f aca="false">Calcs!K76</f>
        <v>1236.30389982136</v>
      </c>
      <c r="L75" s="82" t="n">
        <f aca="false">Calcs!L76</f>
        <v>1279.81122959465</v>
      </c>
      <c r="M75" s="82" t="n">
        <f aca="false">Calcs!M76</f>
        <v>1312.6219768347</v>
      </c>
      <c r="N75" s="82" t="n">
        <f aca="false">Calcs!N76</f>
        <v>1194.91061300968</v>
      </c>
      <c r="O75" s="82" t="n">
        <f aca="false">Calcs!O76</f>
        <v>634.08404083703</v>
      </c>
      <c r="P75" s="82" t="n">
        <f aca="false">Calcs!P76</f>
        <v>610.156341182803</v>
      </c>
      <c r="Q75" s="82" t="n">
        <f aca="false">Calcs!Q76</f>
        <v>584.375087330009</v>
      </c>
      <c r="R75" s="82" t="n">
        <f aca="false">Calcs!R76</f>
        <v>557.067840258513</v>
      </c>
      <c r="S75" s="82" t="n">
        <f aca="false">Calcs!S76</f>
        <v>528.566694942961</v>
      </c>
    </row>
    <row r="76" customFormat="false" ht="14.25" hidden="false" customHeight="true" outlineLevel="0" collapsed="false">
      <c r="B76" s="0" t="s">
        <v>261</v>
      </c>
      <c r="C76" s="0" t="s">
        <v>121</v>
      </c>
      <c r="D76" s="26" t="n">
        <v>67500</v>
      </c>
      <c r="E76" s="32" t="n">
        <f aca="false">D76+E23</f>
        <v>63000</v>
      </c>
      <c r="F76" s="32" t="n">
        <f aca="false">E76+F23</f>
        <v>58500</v>
      </c>
      <c r="G76" s="32" t="n">
        <f aca="false">F76+G23</f>
        <v>54000</v>
      </c>
      <c r="H76" s="32" t="n">
        <f aca="false">G76+H23</f>
        <v>49500</v>
      </c>
      <c r="I76" s="32" t="n">
        <f aca="false">H76+I23</f>
        <v>45000</v>
      </c>
      <c r="J76" s="32" t="n">
        <f aca="false">I76+J23</f>
        <v>40500</v>
      </c>
      <c r="K76" s="32" t="n">
        <f aca="false">J76+K23</f>
        <v>36000</v>
      </c>
      <c r="L76" s="32" t="n">
        <f aca="false">K76+L23</f>
        <v>31500</v>
      </c>
      <c r="M76" s="32" t="n">
        <f aca="false">L76+M23</f>
        <v>27000</v>
      </c>
      <c r="N76" s="32" t="n">
        <f aca="false">M76+N23</f>
        <v>22500</v>
      </c>
      <c r="O76" s="32" t="n">
        <f aca="false">N76+O23</f>
        <v>18000</v>
      </c>
      <c r="P76" s="32" t="n">
        <f aca="false">O76+P23</f>
        <v>13500</v>
      </c>
      <c r="Q76" s="32" t="n">
        <f aca="false">P76+Q23</f>
        <v>9000</v>
      </c>
      <c r="R76" s="32" t="n">
        <f aca="false">Q76+R23</f>
        <v>4500</v>
      </c>
      <c r="S76" s="32" t="n">
        <f aca="false">R76+S23</f>
        <v>0</v>
      </c>
    </row>
    <row r="77" customFormat="false" ht="14.25" hidden="false" customHeight="true" outlineLevel="0" collapsed="false">
      <c r="B77" s="83" t="s">
        <v>262</v>
      </c>
      <c r="C77" s="83" t="s">
        <v>121</v>
      </c>
      <c r="D77" s="96" t="n">
        <f aca="false">SUM(D74:D76)</f>
        <v>72200</v>
      </c>
      <c r="E77" s="96" t="n">
        <f aca="false">SUM(E74:E76)</f>
        <v>64218.8782403771</v>
      </c>
      <c r="F77" s="96" t="n">
        <f aca="false">SUM(F74:F76)</f>
        <v>59734.5046029882</v>
      </c>
      <c r="G77" s="96" t="n">
        <f aca="false">SUM(G74:G76)</f>
        <v>55246.743380202</v>
      </c>
      <c r="H77" s="96" t="n">
        <f aca="false">SUM(H74:H76)</f>
        <v>50749.3462458862</v>
      </c>
      <c r="I77" s="96" t="n">
        <f aca="false">SUM(I74:I76)</f>
        <v>46248.4198320288</v>
      </c>
      <c r="J77" s="96" t="n">
        <f aca="false">SUM(J74:J76)</f>
        <v>41744.0329861066</v>
      </c>
      <c r="K77" s="96" t="n">
        <f aca="false">SUM(K74:K76)</f>
        <v>37236.3038998214</v>
      </c>
      <c r="L77" s="96" t="n">
        <f aca="false">SUM(L74:L76)</f>
        <v>32779.8112295947</v>
      </c>
      <c r="M77" s="96" t="n">
        <f aca="false">SUM(M74:M76)</f>
        <v>28312.6219768347</v>
      </c>
      <c r="N77" s="96" t="n">
        <f aca="false">SUM(N74:N76)</f>
        <v>23694.9106130097</v>
      </c>
      <c r="O77" s="96" t="n">
        <f aca="false">SUM(O74:O76)</f>
        <v>18634.084040837</v>
      </c>
      <c r="P77" s="96" t="n">
        <f aca="false">SUM(P74:P76)</f>
        <v>14110.1563411828</v>
      </c>
      <c r="Q77" s="96" t="n">
        <f aca="false">SUM(Q74:Q76)</f>
        <v>9584.37508733001</v>
      </c>
      <c r="R77" s="96" t="n">
        <f aca="false">SUM(R74:R76)</f>
        <v>5057.06784025851</v>
      </c>
      <c r="S77" s="96" t="n">
        <f aca="false">SUM(S74:S76)</f>
        <v>528.566694942961</v>
      </c>
    </row>
    <row r="79" customFormat="false" ht="14.25" hidden="false" customHeight="true" outlineLevel="0" collapsed="false">
      <c r="B79" s="95" t="s">
        <v>263</v>
      </c>
    </row>
    <row r="81" customFormat="false" ht="14.25" hidden="false" customHeight="true" outlineLevel="0" collapsed="false">
      <c r="B81" s="0" t="s">
        <v>177</v>
      </c>
      <c r="C81" s="0" t="s">
        <v>121</v>
      </c>
      <c r="D81" s="26" t="n">
        <v>300</v>
      </c>
      <c r="E81" s="82" t="n">
        <f aca="false">Calcs!E77</f>
        <v>308.25</v>
      </c>
      <c r="F81" s="82" t="n">
        <f aca="false">Calcs!F77</f>
        <v>316.726875</v>
      </c>
      <c r="G81" s="82" t="n">
        <f aca="false">Calcs!G77</f>
        <v>325.4368640625</v>
      </c>
      <c r="H81" s="82" t="n">
        <f aca="false">Calcs!H77</f>
        <v>332.759193503906</v>
      </c>
      <c r="I81" s="82" t="n">
        <f aca="false">Calcs!I77</f>
        <v>340.246275357744</v>
      </c>
      <c r="J81" s="82" t="n">
        <f aca="false">Calcs!J77</f>
        <v>347.901816553293</v>
      </c>
      <c r="K81" s="82" t="n">
        <f aca="false">Calcs!K77</f>
        <v>355.729607425743</v>
      </c>
      <c r="L81" s="82" t="n">
        <f aca="false">Calcs!L77</f>
        <v>363.733523592822</v>
      </c>
      <c r="M81" s="82" t="n">
        <f aca="false">Calcs!M77</f>
        <v>371.91752787366</v>
      </c>
      <c r="N81" s="82" t="n">
        <f aca="false">Calcs!N77</f>
        <v>380.285672250818</v>
      </c>
      <c r="O81" s="82" t="n">
        <f aca="false">Calcs!O77</f>
        <v>388.842099876461</v>
      </c>
      <c r="P81" s="82" t="n">
        <f aca="false">Calcs!P77</f>
        <v>397.591047123681</v>
      </c>
      <c r="Q81" s="82" t="n">
        <f aca="false">Calcs!Q77</f>
        <v>406.536845683964</v>
      </c>
      <c r="R81" s="82" t="n">
        <f aca="false">Calcs!R77</f>
        <v>415.683924711853</v>
      </c>
      <c r="S81" s="82" t="n">
        <f aca="false">Calcs!S77</f>
        <v>425.03681301787</v>
      </c>
    </row>
    <row r="82" customFormat="false" ht="14.25" hidden="false" customHeight="true" outlineLevel="0" collapsed="false">
      <c r="B82" s="8" t="s">
        <v>264</v>
      </c>
      <c r="C82" s="29" t="s">
        <v>121</v>
      </c>
      <c r="D82" s="26" t="n">
        <v>0</v>
      </c>
      <c r="E82" s="32" t="n">
        <f aca="false">Calcs!E106-(Calcs!$D$99-SUM(Calcs!$E$107:E107))</f>
        <v>45921.9547907183</v>
      </c>
      <c r="F82" s="32" t="n">
        <f aca="false">Calcs!F106-(Calcs!$D$99-SUM(Calcs!$E$107:F107))</f>
        <v>41481.0349140167</v>
      </c>
      <c r="G82" s="32" t="n">
        <f aca="false">Calcs!G106-(Calcs!$D$99-SUM(Calcs!$E$107:G107))</f>
        <v>36985.612970315</v>
      </c>
      <c r="H82" s="32" t="n">
        <f aca="false">Calcs!H106-(Calcs!$D$99-SUM(Calcs!$E$107:H107))</f>
        <v>32476.5453316134</v>
      </c>
      <c r="I82" s="32" t="n">
        <f aca="false">Calcs!I106-(Calcs!$D$99-SUM(Calcs!$E$107:I107))</f>
        <v>27944.8686369117</v>
      </c>
      <c r="J82" s="32" t="n">
        <f aca="false">Calcs!J106-(Calcs!$D$99-SUM(Calcs!$E$107:J107))</f>
        <v>23349.81243121</v>
      </c>
      <c r="K82" s="32" t="n">
        <f aca="false">Calcs!K106-(Calcs!$D$99-SUM(Calcs!$E$107:K107))</f>
        <v>18666.0911215084</v>
      </c>
      <c r="L82" s="32" t="n">
        <f aca="false">Calcs!L106-(Calcs!$D$99-SUM(Calcs!$E$107:L107))</f>
        <v>13629.7515698067</v>
      </c>
      <c r="M82" s="32" t="n">
        <f aca="false">Calcs!M106-(Calcs!$D$99-SUM(Calcs!$E$107:M107))</f>
        <v>8224.77652510502</v>
      </c>
      <c r="N82" s="32" t="n">
        <f aca="false">Calcs!N106-(Calcs!$D$99-SUM(Calcs!$E$107:N107))</f>
        <v>3187.61356340335</v>
      </c>
      <c r="O82" s="32" t="n">
        <f aca="false">Calcs!O106-(Calcs!$D$99-SUM(Calcs!$E$107:O107))</f>
        <v>1317.62996470168</v>
      </c>
      <c r="P82" s="32" t="n">
        <f aca="false">Calcs!P106-(Calcs!$D$99-SUM(Calcs!$E$107:P107))</f>
        <v>1.61435309564695E-011</v>
      </c>
      <c r="Q82" s="32" t="n">
        <f aca="false">Calcs!Q106-(Calcs!$D$99-SUM(Calcs!$E$107:Q107))</f>
        <v>0</v>
      </c>
      <c r="R82" s="32" t="n">
        <f aca="false">Calcs!R106-(Calcs!$D$99-SUM(Calcs!$E$107:R107))</f>
        <v>0</v>
      </c>
      <c r="S82" s="32" t="n">
        <f aca="false">Calcs!S106-(Calcs!$D$99-SUM(Calcs!$E$107:S107))</f>
        <v>0</v>
      </c>
    </row>
    <row r="83" customFormat="false" ht="14.25" hidden="false" customHeight="true" outlineLevel="0" collapsed="false">
      <c r="B83" s="0" t="s">
        <v>265</v>
      </c>
      <c r="C83" s="0" t="s">
        <v>121</v>
      </c>
      <c r="D83" s="26" t="n">
        <v>71900</v>
      </c>
      <c r="E83" s="32" t="n">
        <f aca="false">$D$100+E29-E46</f>
        <v>17988.6734496587</v>
      </c>
      <c r="F83" s="32" t="n">
        <f aca="false">E83+F29-F46</f>
        <v>17936.7428139715</v>
      </c>
      <c r="G83" s="32" t="n">
        <f aca="false">F83+G29-G46</f>
        <v>17935.6935458245</v>
      </c>
      <c r="H83" s="32" t="n">
        <f aca="false">G83+H29-H46</f>
        <v>17940.0417207689</v>
      </c>
      <c r="I83" s="32" t="n">
        <f aca="false">H83+I29-I46</f>
        <v>17963.3049197593</v>
      </c>
      <c r="J83" s="32" t="n">
        <f aca="false">I83+J29-J46</f>
        <v>18046.3187383433</v>
      </c>
      <c r="K83" s="32" t="n">
        <f aca="false">J83+K29-K46</f>
        <v>18214.4831708873</v>
      </c>
      <c r="L83" s="32" t="n">
        <f aca="false">K83+L29-L46</f>
        <v>18786.3261361952</v>
      </c>
      <c r="M83" s="32" t="n">
        <f aca="false">L83+M29-M46</f>
        <v>19715.927923856</v>
      </c>
      <c r="N83" s="32" t="n">
        <f aca="false">M83+N29-N46</f>
        <v>20127.0113773555</v>
      </c>
      <c r="O83" s="32" t="n">
        <f aca="false">N83+O29-O46</f>
        <v>16927.6119762589</v>
      </c>
      <c r="P83" s="32" t="n">
        <f aca="false">O83+P29-P46</f>
        <v>13712.5652940591</v>
      </c>
      <c r="Q83" s="32" t="n">
        <f aca="false">P83+Q29-Q46</f>
        <v>9177.83824164605</v>
      </c>
      <c r="R83" s="32" t="n">
        <f aca="false">Q83+R29-R46</f>
        <v>4641.38391554666</v>
      </c>
      <c r="S83" s="32" t="n">
        <f aca="false">R83+S29-S46</f>
        <v>103.529881925095</v>
      </c>
    </row>
    <row r="84" customFormat="false" ht="14.25" hidden="false" customHeight="true" outlineLevel="0" collapsed="false">
      <c r="B84" s="83" t="s">
        <v>266</v>
      </c>
      <c r="C84" s="83" t="s">
        <v>121</v>
      </c>
      <c r="D84" s="96" t="n">
        <f aca="false">SUM(D81:D83)</f>
        <v>72200</v>
      </c>
      <c r="E84" s="96" t="n">
        <f aca="false">SUM(E81:E83)</f>
        <v>64218.8782403771</v>
      </c>
      <c r="F84" s="96" t="n">
        <f aca="false">SUM(F81:F83)</f>
        <v>59734.5046029882</v>
      </c>
      <c r="G84" s="96" t="n">
        <f aca="false">SUM(G81:G83)</f>
        <v>55246.743380202</v>
      </c>
      <c r="H84" s="96" t="n">
        <f aca="false">SUM(H81:H83)</f>
        <v>50749.3462458862</v>
      </c>
      <c r="I84" s="96" t="n">
        <f aca="false">SUM(I81:I83)</f>
        <v>46248.4198320288</v>
      </c>
      <c r="J84" s="96" t="n">
        <f aca="false">SUM(J81:J83)</f>
        <v>41744.0329861066</v>
      </c>
      <c r="K84" s="96" t="n">
        <f aca="false">SUM(K81:K83)</f>
        <v>37236.3038998214</v>
      </c>
      <c r="L84" s="96" t="n">
        <f aca="false">SUM(L81:L83)</f>
        <v>32779.8112295947</v>
      </c>
      <c r="M84" s="96" t="n">
        <f aca="false">SUM(M81:M83)</f>
        <v>28312.6219768347</v>
      </c>
      <c r="N84" s="96" t="n">
        <f aca="false">SUM(N81:N83)</f>
        <v>23694.9106130097</v>
      </c>
      <c r="O84" s="96" t="n">
        <f aca="false">SUM(O81:O83)</f>
        <v>18634.0840408371</v>
      </c>
      <c r="P84" s="96" t="n">
        <f aca="false">SUM(P81:P83)</f>
        <v>14110.1563411828</v>
      </c>
      <c r="Q84" s="96" t="n">
        <f aca="false">SUM(Q81:Q83)</f>
        <v>9584.37508733001</v>
      </c>
      <c r="R84" s="96" t="n">
        <f aca="false">SUM(R81:R83)</f>
        <v>5057.06784025852</v>
      </c>
      <c r="S84" s="96" t="n">
        <f aca="false">SUM(S81:S83)</f>
        <v>528.566694942964</v>
      </c>
    </row>
    <row r="86" customFormat="false" ht="14.25" hidden="false" customHeight="true" outlineLevel="0" collapsed="false">
      <c r="B86" s="38" t="s">
        <v>267</v>
      </c>
      <c r="C86" s="38" t="s">
        <v>121</v>
      </c>
      <c r="D86" s="97" t="n">
        <f aca="false">D77-D84</f>
        <v>0</v>
      </c>
      <c r="E86" s="72" t="n">
        <f aca="false">E77-E84</f>
        <v>0</v>
      </c>
      <c r="F86" s="72" t="n">
        <f aca="false">F77-F84</f>
        <v>0</v>
      </c>
      <c r="G86" s="72" t="n">
        <f aca="false">G77-G84</f>
        <v>0</v>
      </c>
      <c r="H86" s="72" t="n">
        <f aca="false">H77-H84</f>
        <v>0</v>
      </c>
      <c r="I86" s="72" t="n">
        <f aca="false">I77-I84</f>
        <v>0</v>
      </c>
      <c r="J86" s="72" t="n">
        <f aca="false">J77-J84</f>
        <v>0</v>
      </c>
      <c r="K86" s="72" t="n">
        <f aca="false">K77-K84</f>
        <v>0</v>
      </c>
      <c r="L86" s="72" t="n">
        <f aca="false">L77-L84</f>
        <v>0</v>
      </c>
      <c r="M86" s="72" t="n">
        <f aca="false">M77-M84</f>
        <v>0</v>
      </c>
      <c r="N86" s="72" t="n">
        <f aca="false">N77-N84</f>
        <v>0</v>
      </c>
      <c r="O86" s="72" t="n">
        <f aca="false">O77-O84</f>
        <v>0</v>
      </c>
      <c r="P86" s="72" t="n">
        <f aca="false">P77-P84</f>
        <v>0</v>
      </c>
      <c r="Q86" s="72" t="n">
        <f aca="false">Q77-Q84</f>
        <v>0</v>
      </c>
      <c r="R86" s="72" t="n">
        <f aca="false">R77-R84</f>
        <v>0</v>
      </c>
      <c r="S86" s="72" t="n">
        <f aca="false">S77-S84</f>
        <v>-3.41060513164848E-012</v>
      </c>
    </row>
    <row r="88" customFormat="false" ht="14.25" hidden="false" customHeight="true" outlineLevel="0" collapsed="false">
      <c r="A88" s="55" t="n">
        <f aca="false">MAX($A$2:A87)+0.01</f>
        <v>3.05</v>
      </c>
      <c r="B88" s="56" t="s">
        <v>268</v>
      </c>
      <c r="C88" s="57"/>
      <c r="D88" s="57"/>
      <c r="E88" s="57"/>
      <c r="F88" s="57"/>
      <c r="G88" s="57"/>
      <c r="H88" s="57"/>
      <c r="I88" s="57"/>
      <c r="J88" s="57"/>
      <c r="K88" s="57"/>
      <c r="L88" s="57"/>
      <c r="M88" s="57"/>
      <c r="N88" s="57"/>
      <c r="O88" s="57"/>
      <c r="P88" s="57"/>
      <c r="Q88" s="57"/>
      <c r="R88" s="57"/>
      <c r="S88" s="57"/>
    </row>
    <row r="90" customFormat="false" ht="14.25" hidden="false" customHeight="true" outlineLevel="0" collapsed="false">
      <c r="B90" s="14" t="s">
        <v>269</v>
      </c>
    </row>
    <row r="91" customFormat="false" ht="14.25" hidden="false" customHeight="true" outlineLevel="0" collapsed="false">
      <c r="B91" s="8" t="s">
        <v>270</v>
      </c>
      <c r="C91" s="29" t="s">
        <v>121</v>
      </c>
      <c r="D91" s="82" t="n">
        <f aca="false">Calcs!$D$98</f>
        <v>51242.478779</v>
      </c>
    </row>
    <row r="92" customFormat="false" ht="14.25" hidden="false" customHeight="true" outlineLevel="0" collapsed="false">
      <c r="B92" s="8" t="s">
        <v>271</v>
      </c>
      <c r="C92" s="29" t="s">
        <v>121</v>
      </c>
      <c r="D92" s="32" t="n">
        <f aca="false">D56</f>
        <v>14799.8734926574</v>
      </c>
    </row>
    <row r="93" customFormat="false" ht="14.25" hidden="false" customHeight="true" outlineLevel="0" collapsed="false">
      <c r="B93" s="8" t="s">
        <v>272</v>
      </c>
      <c r="C93" s="29" t="s">
        <v>121</v>
      </c>
      <c r="D93" s="76" t="n">
        <f aca="false">SUM(D91:D92)</f>
        <v>66042.3522716575</v>
      </c>
    </row>
    <row r="95" customFormat="false" ht="14.25" hidden="false" customHeight="true" outlineLevel="0" collapsed="false">
      <c r="B95" s="14" t="s">
        <v>273</v>
      </c>
    </row>
    <row r="96" customFormat="false" ht="14.25" hidden="false" customHeight="true" outlineLevel="0" collapsed="false">
      <c r="B96" s="8" t="s">
        <v>274</v>
      </c>
      <c r="C96" s="29" t="s">
        <v>121</v>
      </c>
      <c r="D96" s="32" t="n">
        <f aca="false">D52</f>
        <v>64517.5026960775</v>
      </c>
    </row>
    <row r="97" customFormat="false" ht="14.25" hidden="false" customHeight="true" outlineLevel="0" collapsed="false">
      <c r="B97" s="8" t="s">
        <v>241</v>
      </c>
      <c r="C97" s="29" t="s">
        <v>121</v>
      </c>
      <c r="D97" s="32" t="n">
        <f aca="false">D53</f>
        <v>500</v>
      </c>
    </row>
    <row r="98" customFormat="false" ht="14.25" hidden="false" customHeight="true" outlineLevel="0" collapsed="false">
      <c r="B98" s="8" t="s">
        <v>242</v>
      </c>
      <c r="C98" s="29" t="s">
        <v>121</v>
      </c>
      <c r="D98" s="32" t="n">
        <f aca="false">D54</f>
        <v>1024.84957558</v>
      </c>
    </row>
    <row r="99" customFormat="false" ht="14.25" hidden="false" customHeight="true" outlineLevel="0" collapsed="false">
      <c r="B99" s="8" t="s">
        <v>275</v>
      </c>
      <c r="C99" s="29" t="s">
        <v>121</v>
      </c>
      <c r="D99" s="76" t="n">
        <f aca="false">SUM(D96:D98)</f>
        <v>66042.3522716575</v>
      </c>
    </row>
    <row r="100" customFormat="false" ht="14.25" hidden="false" customHeight="true" outlineLevel="0" collapsed="false">
      <c r="B100" s="8" t="s">
        <v>276</v>
      </c>
      <c r="C100" s="29" t="s">
        <v>121</v>
      </c>
      <c r="D100" s="32" t="n">
        <f aca="false">D83-(Calcs!$D$98-Calcs!$D$99)</f>
        <v>21682.37079658</v>
      </c>
    </row>
    <row r="101" customFormat="false" ht="14.25" hidden="false" customHeight="true" outlineLevel="0" collapsed="false">
      <c r="B101" s="8" t="s">
        <v>277</v>
      </c>
      <c r="C101" s="29" t="s">
        <v>121</v>
      </c>
      <c r="D101" s="72" t="n">
        <f aca="false">D93-D99</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2:S17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6" topLeftCell="F152" activePane="bottomRight" state="frozen"/>
      <selection pane="topLeft" activeCell="A1" activeCellId="0" sqref="A1"/>
      <selection pane="topRight" activeCell="F1" activeCellId="0" sqref="F1"/>
      <selection pane="bottomLeft" activeCell="A152" activeCellId="0" sqref="A152"/>
      <selection pane="bottomRight" activeCell="D75" activeCellId="0" sqref="D7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14"/>
    <col collapsed="false" customWidth="true" hidden="false" outlineLevel="0" max="19" min="4" style="0" width="10.56"/>
    <col collapsed="false" customWidth="true" hidden="false" outlineLevel="0" max="20" min="20" style="0" width="4"/>
    <col collapsed="false" customWidth="true" hidden="false" outlineLevel="0" max="21" min="21" style="0" width="100"/>
  </cols>
  <sheetData>
    <row r="2" customFormat="false" ht="21.75" hidden="false" customHeight="true" outlineLevel="0" collapsed="false">
      <c r="A2" s="98" t="n">
        <f aca="false">Output!A2+1</f>
        <v>4</v>
      </c>
      <c r="B2" s="99" t="s">
        <v>278</v>
      </c>
      <c r="C2" s="100"/>
      <c r="D2" s="100"/>
      <c r="E2" s="100"/>
      <c r="F2" s="100"/>
      <c r="G2" s="100"/>
      <c r="H2" s="100"/>
      <c r="I2" s="100"/>
      <c r="J2" s="100"/>
      <c r="K2" s="100"/>
      <c r="L2" s="100"/>
      <c r="M2" s="100"/>
      <c r="N2" s="100"/>
      <c r="O2" s="100"/>
      <c r="P2" s="100"/>
      <c r="Q2" s="100"/>
      <c r="R2" s="100"/>
      <c r="S2" s="100"/>
    </row>
    <row r="4" customFormat="false" ht="15" hidden="false" customHeight="true" outlineLevel="0" collapsed="false">
      <c r="B4" s="18" t="s">
        <v>44</v>
      </c>
      <c r="D4" s="19" t="n">
        <f aca="false">Output!D4</f>
        <v>41274</v>
      </c>
      <c r="E4" s="19" t="n">
        <f aca="false">Output!E4</f>
        <v>41639</v>
      </c>
      <c r="F4" s="19" t="n">
        <f aca="false">Output!F4</f>
        <v>42004</v>
      </c>
      <c r="G4" s="19" t="n">
        <f aca="false">Output!G4</f>
        <v>42369</v>
      </c>
      <c r="H4" s="19" t="n">
        <f aca="false">Output!H4</f>
        <v>42735</v>
      </c>
      <c r="I4" s="19" t="n">
        <f aca="false">Output!I4</f>
        <v>43100</v>
      </c>
      <c r="J4" s="19" t="n">
        <f aca="false">Output!J4</f>
        <v>43465</v>
      </c>
      <c r="K4" s="19" t="n">
        <f aca="false">Output!K4</f>
        <v>43830</v>
      </c>
      <c r="L4" s="19" t="n">
        <f aca="false">Output!L4</f>
        <v>44196</v>
      </c>
      <c r="M4" s="19" t="n">
        <f aca="false">Output!M4</f>
        <v>44561</v>
      </c>
      <c r="N4" s="19" t="n">
        <f aca="false">Output!N4</f>
        <v>44926</v>
      </c>
      <c r="O4" s="19" t="n">
        <f aca="false">Output!O4</f>
        <v>45291</v>
      </c>
      <c r="P4" s="19" t="n">
        <f aca="false">Output!P4</f>
        <v>45657</v>
      </c>
      <c r="Q4" s="19" t="n">
        <f aca="false">Output!Q4</f>
        <v>46022</v>
      </c>
      <c r="R4" s="19" t="n">
        <f aca="false">Output!R4</f>
        <v>46387</v>
      </c>
      <c r="S4" s="19" t="n">
        <f aca="false">Output!S4</f>
        <v>46752</v>
      </c>
    </row>
    <row r="5" customFormat="false" ht="15" hidden="false" customHeight="true" outlineLevel="0" collapsed="false">
      <c r="B5" s="18" t="s">
        <v>45</v>
      </c>
      <c r="D5" s="101" t="n">
        <f aca="false">YEAR(D4)</f>
        <v>2012</v>
      </c>
      <c r="E5" s="101" t="n">
        <f aca="false">YEAR(E4)</f>
        <v>2013</v>
      </c>
      <c r="F5" s="101" t="n">
        <f aca="false">YEAR(F4)</f>
        <v>2014</v>
      </c>
      <c r="G5" s="101" t="n">
        <f aca="false">YEAR(G4)</f>
        <v>2015</v>
      </c>
      <c r="H5" s="101" t="n">
        <f aca="false">YEAR(H4)</f>
        <v>2016</v>
      </c>
      <c r="I5" s="101" t="n">
        <f aca="false">YEAR(I4)</f>
        <v>2017</v>
      </c>
      <c r="J5" s="101" t="n">
        <f aca="false">YEAR(J4)</f>
        <v>2018</v>
      </c>
      <c r="K5" s="101" t="n">
        <f aca="false">YEAR(K4)</f>
        <v>2019</v>
      </c>
      <c r="L5" s="101" t="n">
        <f aca="false">YEAR(L4)</f>
        <v>2020</v>
      </c>
      <c r="M5" s="101" t="n">
        <f aca="false">YEAR(M4)</f>
        <v>2021</v>
      </c>
      <c r="N5" s="101" t="n">
        <f aca="false">YEAR(N4)</f>
        <v>2022</v>
      </c>
      <c r="O5" s="101" t="n">
        <f aca="false">YEAR(O4)</f>
        <v>2023</v>
      </c>
      <c r="P5" s="101" t="n">
        <f aca="false">YEAR(P4)</f>
        <v>2024</v>
      </c>
      <c r="Q5" s="101" t="n">
        <f aca="false">YEAR(Q4)</f>
        <v>2025</v>
      </c>
      <c r="R5" s="101" t="n">
        <f aca="false">YEAR(R4)</f>
        <v>2026</v>
      </c>
      <c r="S5" s="101" t="n">
        <f aca="false">YEAR(S4)</f>
        <v>2027</v>
      </c>
    </row>
    <row r="6" customFormat="false" ht="15" hidden="false" customHeight="true" outlineLevel="0" collapsed="false">
      <c r="B6" s="21" t="s">
        <v>46</v>
      </c>
      <c r="C6" s="22"/>
      <c r="D6" s="23" t="n">
        <v>0</v>
      </c>
      <c r="E6" s="23" t="n">
        <f aca="false">D6+1</f>
        <v>1</v>
      </c>
      <c r="F6" s="23" t="n">
        <f aca="false">E6+1</f>
        <v>2</v>
      </c>
      <c r="G6" s="23" t="n">
        <f aca="false">F6+1</f>
        <v>3</v>
      </c>
      <c r="H6" s="23" t="n">
        <f aca="false">G6+1</f>
        <v>4</v>
      </c>
      <c r="I6" s="23" t="n">
        <f aca="false">H6+1</f>
        <v>5</v>
      </c>
      <c r="J6" s="23" t="n">
        <f aca="false">I6+1</f>
        <v>6</v>
      </c>
      <c r="K6" s="23" t="n">
        <f aca="false">J6+1</f>
        <v>7</v>
      </c>
      <c r="L6" s="23" t="n">
        <f aca="false">K6+1</f>
        <v>8</v>
      </c>
      <c r="M6" s="23" t="n">
        <f aca="false">L6+1</f>
        <v>9</v>
      </c>
      <c r="N6" s="23" t="n">
        <f aca="false">M6+1</f>
        <v>10</v>
      </c>
      <c r="O6" s="23" t="n">
        <f aca="false">N6+1</f>
        <v>11</v>
      </c>
      <c r="P6" s="23" t="n">
        <f aca="false">O6+1</f>
        <v>12</v>
      </c>
      <c r="Q6" s="23" t="n">
        <f aca="false">P6+1</f>
        <v>13</v>
      </c>
      <c r="R6" s="23" t="n">
        <f aca="false">Q6+1</f>
        <v>14</v>
      </c>
      <c r="S6" s="23" t="n">
        <f aca="false">R6+1</f>
        <v>15</v>
      </c>
    </row>
    <row r="8" customFormat="false" ht="15" hidden="false" customHeight="true" outlineLevel="0" collapsed="false">
      <c r="A8" s="55" t="n">
        <f aca="false">MAX($A$2:A7)+0.01</f>
        <v>4.01</v>
      </c>
      <c r="B8" s="56" t="s">
        <v>279</v>
      </c>
      <c r="C8" s="57"/>
      <c r="D8" s="57"/>
      <c r="E8" s="57"/>
      <c r="F8" s="57"/>
      <c r="G8" s="57"/>
      <c r="H8" s="57"/>
      <c r="I8" s="57"/>
      <c r="J8" s="57"/>
      <c r="K8" s="57"/>
      <c r="L8" s="57"/>
      <c r="M8" s="57"/>
      <c r="N8" s="57"/>
      <c r="O8" s="57"/>
      <c r="P8" s="57"/>
      <c r="Q8" s="57"/>
      <c r="R8" s="57"/>
      <c r="S8" s="57"/>
    </row>
    <row r="10" customFormat="false" ht="15" hidden="false" customHeight="true" outlineLevel="0" collapsed="false">
      <c r="B10" s="14" t="s">
        <v>280</v>
      </c>
      <c r="C10" s="29" t="s">
        <v>121</v>
      </c>
      <c r="D10" s="91" t="n">
        <f aca="false">Output!$D$52</f>
        <v>64517.5026960775</v>
      </c>
    </row>
    <row r="11" customFormat="false" ht="15" hidden="false" customHeight="true" outlineLevel="0" collapsed="false">
      <c r="B11" s="8" t="s">
        <v>281</v>
      </c>
      <c r="C11" s="29" t="s">
        <v>121</v>
      </c>
      <c r="D11" s="32" t="n">
        <f aca="false">Output!$D$59</f>
        <v>61017.5026960775</v>
      </c>
    </row>
    <row r="12" customFormat="false" ht="15" hidden="false" customHeight="true" outlineLevel="0" collapsed="false">
      <c r="B12" s="8" t="s">
        <v>282</v>
      </c>
      <c r="C12" s="29" t="s">
        <v>97</v>
      </c>
      <c r="D12" s="32" t="n">
        <f aca="false">D11/Assumptions!$D$47</f>
        <v>1220.35005392155</v>
      </c>
    </row>
    <row r="13" customFormat="false" ht="15" hidden="false" customHeight="true" outlineLevel="0" collapsed="false">
      <c r="B13" s="8" t="s">
        <v>283</v>
      </c>
      <c r="C13" s="29" t="s">
        <v>121</v>
      </c>
      <c r="D13" s="32" t="n">
        <f aca="false">Calcs!$D$98</f>
        <v>51242.478779</v>
      </c>
    </row>
    <row r="14" customFormat="false" ht="15" hidden="false" customHeight="true" outlineLevel="0" collapsed="false">
      <c r="B14" s="8" t="s">
        <v>284</v>
      </c>
      <c r="C14" s="29" t="s">
        <v>121</v>
      </c>
      <c r="D14" s="32" t="n">
        <f aca="false">Output!$D$56</f>
        <v>14799.8734926574</v>
      </c>
    </row>
    <row r="15" customFormat="false" ht="15" hidden="false" customHeight="true" outlineLevel="0" collapsed="false">
      <c r="B15" s="8" t="s">
        <v>285</v>
      </c>
      <c r="C15" s="29" t="s">
        <v>54</v>
      </c>
      <c r="D15" s="53" t="n">
        <f aca="false">Output!$D$57</f>
        <v>0.12</v>
      </c>
    </row>
    <row r="17" customFormat="false" ht="15" hidden="false" customHeight="true" outlineLevel="0" collapsed="false">
      <c r="B17" s="14" t="s">
        <v>286</v>
      </c>
      <c r="C17" s="29" t="s">
        <v>54</v>
      </c>
      <c r="D17" s="92" t="n">
        <f aca="false">$D$75</f>
        <v>0.0688635784108825</v>
      </c>
    </row>
    <row r="18" customFormat="false" ht="15" hidden="false" customHeight="true" outlineLevel="0" collapsed="false">
      <c r="B18" s="8" t="s">
        <v>287</v>
      </c>
      <c r="C18" s="29" t="s">
        <v>111</v>
      </c>
      <c r="D18" s="80" t="n">
        <f aca="false">$D$76</f>
        <v>1.21020963949947</v>
      </c>
    </row>
    <row r="20" customFormat="false" ht="15" hidden="false" customHeight="true" outlineLevel="0" collapsed="false">
      <c r="B20" s="14" t="s">
        <v>288</v>
      </c>
      <c r="C20" s="29" t="s">
        <v>54</v>
      </c>
      <c r="D20" s="92" t="n">
        <f aca="false">$D$90</f>
        <v>0.131953208102614</v>
      </c>
    </row>
    <row r="21" customFormat="false" ht="15" hidden="false" customHeight="true" outlineLevel="0" collapsed="false">
      <c r="B21" s="8" t="s">
        <v>289</v>
      </c>
      <c r="C21" s="29" t="s">
        <v>121</v>
      </c>
      <c r="D21" s="32" t="n">
        <f aca="false">Output!$D$68</f>
        <v>10928.5356337701</v>
      </c>
    </row>
    <row r="23" customFormat="false" ht="15" hidden="false" customHeight="true" outlineLevel="0" collapsed="false">
      <c r="B23" s="14" t="s">
        <v>290</v>
      </c>
      <c r="C23" s="29" t="s">
        <v>54</v>
      </c>
      <c r="D23" s="92" t="n">
        <f aca="false">$D$103</f>
        <v>0.0163817387462332</v>
      </c>
    </row>
    <row r="24" customFormat="false" ht="15" hidden="false" customHeight="true" outlineLevel="0" collapsed="false">
      <c r="B24" s="8" t="s">
        <v>291</v>
      </c>
      <c r="C24" s="29" t="s">
        <v>54</v>
      </c>
      <c r="D24" s="53" t="n">
        <f aca="false">$D$104</f>
        <v>0.0463817387462332</v>
      </c>
    </row>
    <row r="26" customFormat="false" ht="15" hidden="false" customHeight="true" outlineLevel="0" collapsed="false">
      <c r="B26" s="14" t="s">
        <v>292</v>
      </c>
      <c r="C26" s="29" t="s">
        <v>121</v>
      </c>
      <c r="D26" s="91" t="n">
        <f aca="false">$D$120</f>
        <v>0</v>
      </c>
    </row>
    <row r="27" customFormat="false" ht="15" hidden="false" customHeight="true" outlineLevel="0" collapsed="false">
      <c r="B27" s="8" t="s">
        <v>293</v>
      </c>
      <c r="C27" s="29" t="s">
        <v>121</v>
      </c>
      <c r="D27" s="32" t="n">
        <f aca="false">$D$116</f>
        <v>388.262535592022</v>
      </c>
    </row>
    <row r="29" customFormat="false" ht="15" hidden="false" customHeight="true" outlineLevel="0" collapsed="false">
      <c r="B29" s="14" t="s">
        <v>294</v>
      </c>
      <c r="C29" s="29" t="s">
        <v>121</v>
      </c>
      <c r="D29" s="91" t="n">
        <f aca="false">$D$131</f>
        <v>6226.770819173</v>
      </c>
    </row>
    <row r="30" customFormat="false" ht="15" hidden="false" customHeight="true" outlineLevel="0" collapsed="false">
      <c r="B30" s="8" t="s">
        <v>295</v>
      </c>
      <c r="C30" s="29" t="s">
        <v>54</v>
      </c>
      <c r="D30" s="53" t="n">
        <f aca="false">$D$168</f>
        <v>0.139488906906813</v>
      </c>
    </row>
    <row r="31" customFormat="false" ht="15" hidden="false" customHeight="true" outlineLevel="0" collapsed="false">
      <c r="B31" s="8" t="s">
        <v>296</v>
      </c>
      <c r="C31" s="29" t="s">
        <v>297</v>
      </c>
      <c r="D31" s="32" t="n">
        <f aca="false">($D$168-Output!$D$57)*10000</f>
        <v>194.889069068134</v>
      </c>
    </row>
    <row r="33" customFormat="false" ht="15" hidden="false" customHeight="true" outlineLevel="0" collapsed="false">
      <c r="B33" s="29" t="s">
        <v>298</v>
      </c>
    </row>
    <row r="35" customFormat="false" ht="15" hidden="false" customHeight="true" outlineLevel="0" collapsed="false">
      <c r="A35" s="55" t="n">
        <f aca="false">MAX($A$2:A34)+0.01</f>
        <v>4.02</v>
      </c>
      <c r="B35" s="56" t="s">
        <v>299</v>
      </c>
      <c r="C35" s="57"/>
      <c r="D35" s="57"/>
      <c r="E35" s="57"/>
      <c r="F35" s="57"/>
      <c r="G35" s="57"/>
      <c r="H35" s="57"/>
      <c r="I35" s="57"/>
      <c r="J35" s="57"/>
      <c r="K35" s="57"/>
      <c r="L35" s="57"/>
      <c r="M35" s="57"/>
      <c r="N35" s="57"/>
      <c r="O35" s="57"/>
      <c r="P35" s="57"/>
      <c r="Q35" s="57"/>
      <c r="R35" s="57"/>
      <c r="S35" s="57"/>
    </row>
    <row r="37" customFormat="false" ht="15" hidden="false" customHeight="true" outlineLevel="0" collapsed="false">
      <c r="B37" s="8" t="s">
        <v>136</v>
      </c>
      <c r="C37" s="29" t="s">
        <v>138</v>
      </c>
      <c r="D37" s="67" t="n">
        <f aca="false">Calcs!D15</f>
        <v>125</v>
      </c>
      <c r="E37" s="67" t="n">
        <f aca="false">IF(E$5&lt;=$D$5+10,Calcs!E16,Calcs!E15)</f>
        <v>117.5</v>
      </c>
      <c r="F37" s="67" t="n">
        <f aca="false">IF(F$5&lt;=$D$5+10,Calcs!F16,Calcs!F15)</f>
        <v>117.5</v>
      </c>
      <c r="G37" s="67" t="n">
        <f aca="false">IF(G$5&lt;=$D$5+10,Calcs!G16,Calcs!G15)</f>
        <v>117.5</v>
      </c>
      <c r="H37" s="67" t="n">
        <f aca="false">IF(H$5&lt;=$D$5+10,Calcs!H16,Calcs!H15)</f>
        <v>117.5</v>
      </c>
      <c r="I37" s="67" t="n">
        <f aca="false">IF(I$5&lt;=$D$5+10,Calcs!I16,Calcs!I15)</f>
        <v>117.5</v>
      </c>
      <c r="J37" s="67" t="n">
        <f aca="false">IF(J$5&lt;=$D$5+10,Calcs!J16,Calcs!J15)</f>
        <v>117.5</v>
      </c>
      <c r="K37" s="67" t="n">
        <f aca="false">IF(K$5&lt;=$D$5+10,Calcs!K16,Calcs!K15)</f>
        <v>117.5</v>
      </c>
      <c r="L37" s="67" t="n">
        <f aca="false">IF(L$5&lt;=$D$5+10,Calcs!L16,Calcs!L15)</f>
        <v>117.5</v>
      </c>
      <c r="M37" s="67" t="n">
        <f aca="false">IF(M$5&lt;=$D$5+10,Calcs!M16,Calcs!M15)</f>
        <v>117.5</v>
      </c>
      <c r="N37" s="67" t="n">
        <f aca="false">IF(N$5&lt;=$D$5+10,Calcs!N16,Calcs!N15)</f>
        <v>117.5</v>
      </c>
      <c r="O37" s="67" t="n">
        <f aca="false">IF(O$5&lt;=$D$5+10,Calcs!O16,Calcs!O15)</f>
        <v>125</v>
      </c>
      <c r="P37" s="67" t="n">
        <f aca="false">IF(P$5&lt;=$D$5+10,Calcs!P16,Calcs!P15)</f>
        <v>125</v>
      </c>
      <c r="Q37" s="67" t="n">
        <f aca="false">IF(Q$5&lt;=$D$5+10,Calcs!Q16,Calcs!Q15)</f>
        <v>125</v>
      </c>
      <c r="R37" s="67" t="n">
        <f aca="false">IF(R$5&lt;=$D$5+10,Calcs!R16,Calcs!R15)</f>
        <v>125</v>
      </c>
      <c r="S37" s="67" t="n">
        <f aca="false">IF(S$5&lt;=$D$5+10,Calcs!S16,Calcs!S15)</f>
        <v>125</v>
      </c>
    </row>
    <row r="39" customFormat="false" ht="15" hidden="false" customHeight="true" outlineLevel="0" collapsed="false">
      <c r="B39" s="8" t="s">
        <v>300</v>
      </c>
      <c r="C39" s="29" t="s">
        <v>121</v>
      </c>
      <c r="D39" s="32" t="n">
        <f aca="false">D37*Calcs!D49</f>
        <v>6875</v>
      </c>
      <c r="E39" s="32" t="n">
        <f aca="false">E37*Calcs!E49</f>
        <v>6591.10696517413</v>
      </c>
      <c r="F39" s="32" t="n">
        <f aca="false">F37*Calcs!F49</f>
        <v>6688.99469237968</v>
      </c>
      <c r="G39" s="32" t="n">
        <f aca="false">G37*Calcs!G49</f>
        <v>6754.89611792037</v>
      </c>
      <c r="H39" s="32" t="n">
        <f aca="false">H37*Calcs!H49</f>
        <v>6754.89611792038</v>
      </c>
      <c r="I39" s="32" t="n">
        <f aca="false">I37*Calcs!I49</f>
        <v>6721.94540515004</v>
      </c>
      <c r="J39" s="32" t="n">
        <f aca="false">J37*Calcs!J49</f>
        <v>6656.68379927478</v>
      </c>
      <c r="K39" s="32" t="n">
        <f aca="false">K37*Calcs!K49</f>
        <v>6560.21012102443</v>
      </c>
      <c r="L39" s="32" t="n">
        <f aca="false">L37*Calcs!L49</f>
        <v>6940.21896928422</v>
      </c>
      <c r="M39" s="32" t="n">
        <f aca="false">M37*Calcs!M49</f>
        <v>7220.60381564332</v>
      </c>
      <c r="N39" s="32" t="n">
        <f aca="false">N37*Calcs!N49</f>
        <v>6100.69532407251</v>
      </c>
      <c r="O39" s="32" t="n">
        <f aca="false">O37*Calcs!O49</f>
        <v>6274.78998744978</v>
      </c>
      <c r="P39" s="32" t="n">
        <f aca="false">P37*Calcs!P49</f>
        <v>6038.00545962149</v>
      </c>
      <c r="Q39" s="32" t="n">
        <f aca="false">Q37*Calcs!Q49</f>
        <v>5782.87846836988</v>
      </c>
      <c r="R39" s="32" t="n">
        <f aca="false">R37*Calcs!R49</f>
        <v>5512.6505025582</v>
      </c>
      <c r="S39" s="32" t="n">
        <f aca="false">S37*Calcs!S49</f>
        <v>5230.60791870639</v>
      </c>
    </row>
    <row r="40" customFormat="false" ht="15" hidden="false" customHeight="true" outlineLevel="0" collapsed="false">
      <c r="B40" s="8" t="s">
        <v>301</v>
      </c>
      <c r="C40" s="29" t="s">
        <v>121</v>
      </c>
      <c r="D40" s="32" t="n">
        <f aca="false">D37*Calcs!D50</f>
        <v>5000</v>
      </c>
      <c r="E40" s="32" t="n">
        <f aca="false">E37*Calcs!E50</f>
        <v>4747</v>
      </c>
      <c r="F40" s="32" t="n">
        <f aca="false">F37*Calcs!F50</f>
        <v>4794.47</v>
      </c>
      <c r="G40" s="32" t="n">
        <f aca="false">G37*Calcs!G50</f>
        <v>4842.4147</v>
      </c>
      <c r="H40" s="32" t="n">
        <f aca="false">H37*Calcs!H50</f>
        <v>4866.6267735</v>
      </c>
      <c r="I40" s="32" t="n">
        <f aca="false">I37*Calcs!I50</f>
        <v>4890.9599073675</v>
      </c>
      <c r="J40" s="32" t="n">
        <f aca="false">J37*Calcs!J50</f>
        <v>4915.41470690434</v>
      </c>
      <c r="K40" s="32" t="n">
        <f aca="false">K37*Calcs!K50</f>
        <v>4939.99178043886</v>
      </c>
      <c r="L40" s="32" t="n">
        <f aca="false">L37*Calcs!L50</f>
        <v>4964.69173934105</v>
      </c>
      <c r="M40" s="32" t="n">
        <f aca="false">M37*Calcs!M50</f>
        <v>4989.51519803776</v>
      </c>
      <c r="N40" s="32" t="n">
        <f aca="false">N37*Calcs!N50</f>
        <v>5014.46277402795</v>
      </c>
      <c r="O40" s="32" t="n">
        <f aca="false">O37*Calcs!O50</f>
        <v>0</v>
      </c>
      <c r="P40" s="32" t="n">
        <f aca="false">P37*Calcs!P50</f>
        <v>0</v>
      </c>
      <c r="Q40" s="32" t="n">
        <f aca="false">Q37*Calcs!Q50</f>
        <v>0</v>
      </c>
      <c r="R40" s="32" t="n">
        <f aca="false">R37*Calcs!R50</f>
        <v>0</v>
      </c>
      <c r="S40" s="32" t="n">
        <f aca="false">S37*Calcs!S50</f>
        <v>0</v>
      </c>
    </row>
    <row r="41" customFormat="false" ht="15" hidden="false" customHeight="true" outlineLevel="0" collapsed="false">
      <c r="B41" s="8" t="s">
        <v>302</v>
      </c>
      <c r="C41" s="29" t="s">
        <v>121</v>
      </c>
      <c r="D41" s="76" t="n">
        <f aca="false">SUM(D39:D40)</f>
        <v>11875</v>
      </c>
      <c r="E41" s="76" t="n">
        <f aca="false">SUM(E39:E40)</f>
        <v>11338.1069651741</v>
      </c>
      <c r="F41" s="76" t="n">
        <f aca="false">SUM(F39:F40)</f>
        <v>11483.4646923797</v>
      </c>
      <c r="G41" s="76" t="n">
        <f aca="false">SUM(G39:G40)</f>
        <v>11597.3108179204</v>
      </c>
      <c r="H41" s="76" t="n">
        <f aca="false">SUM(H39:H40)</f>
        <v>11621.5228914204</v>
      </c>
      <c r="I41" s="76" t="n">
        <f aca="false">SUM(I39:I40)</f>
        <v>11612.9053125175</v>
      </c>
      <c r="J41" s="76" t="n">
        <f aca="false">SUM(J39:J40)</f>
        <v>11572.0985061791</v>
      </c>
      <c r="K41" s="76" t="n">
        <f aca="false">SUM(K39:K40)</f>
        <v>11500.2019014633</v>
      </c>
      <c r="L41" s="76" t="n">
        <f aca="false">SUM(L39:L40)</f>
        <v>11904.9107086253</v>
      </c>
      <c r="M41" s="76" t="n">
        <f aca="false">SUM(M39:M40)</f>
        <v>12210.1190136811</v>
      </c>
      <c r="N41" s="76" t="n">
        <f aca="false">SUM(N39:N40)</f>
        <v>11115.1580981005</v>
      </c>
      <c r="O41" s="76" t="n">
        <f aca="false">SUM(O39:O40)</f>
        <v>6274.78998744978</v>
      </c>
      <c r="P41" s="76" t="n">
        <f aca="false">SUM(P39:P40)</f>
        <v>6038.00545962149</v>
      </c>
      <c r="Q41" s="76" t="n">
        <f aca="false">SUM(Q39:Q40)</f>
        <v>5782.87846836988</v>
      </c>
      <c r="R41" s="76" t="n">
        <f aca="false">SUM(R39:R40)</f>
        <v>5512.6505025582</v>
      </c>
      <c r="S41" s="76" t="n">
        <f aca="false">SUM(S39:S40)</f>
        <v>5230.60791870639</v>
      </c>
    </row>
    <row r="42" customFormat="false" ht="15" hidden="false" customHeight="true" outlineLevel="0" collapsed="false">
      <c r="B42" s="8" t="s">
        <v>303</v>
      </c>
      <c r="C42" s="29" t="s">
        <v>121</v>
      </c>
      <c r="D42" s="82" t="n">
        <f aca="false">Calcs!D60</f>
        <v>2500</v>
      </c>
      <c r="E42" s="82" t="n">
        <f aca="false">Calcs!E60</f>
        <v>2568.75</v>
      </c>
      <c r="F42" s="82" t="n">
        <f aca="false">Calcs!F60</f>
        <v>2639.390625</v>
      </c>
      <c r="G42" s="82" t="n">
        <f aca="false">Calcs!G60</f>
        <v>2711.9738671875</v>
      </c>
      <c r="H42" s="82" t="n">
        <f aca="false">Calcs!H60</f>
        <v>2772.99327919922</v>
      </c>
      <c r="I42" s="82" t="n">
        <f aca="false">Calcs!I60</f>
        <v>2835.3856279812</v>
      </c>
      <c r="J42" s="82" t="n">
        <f aca="false">Calcs!J60</f>
        <v>2899.18180461078</v>
      </c>
      <c r="K42" s="82" t="n">
        <f aca="false">Calcs!K60</f>
        <v>2964.41339521452</v>
      </c>
      <c r="L42" s="82" t="n">
        <f aca="false">Calcs!L60</f>
        <v>3031.11269660685</v>
      </c>
      <c r="M42" s="82" t="n">
        <f aca="false">Calcs!M60</f>
        <v>3099.3127322805</v>
      </c>
      <c r="N42" s="82" t="n">
        <f aca="false">Calcs!N60</f>
        <v>3169.04726875681</v>
      </c>
      <c r="O42" s="82" t="n">
        <f aca="false">Calcs!O60</f>
        <v>3240.35083230384</v>
      </c>
      <c r="P42" s="82" t="n">
        <f aca="false">Calcs!P60</f>
        <v>3313.25872603068</v>
      </c>
      <c r="Q42" s="82" t="n">
        <f aca="false">Calcs!Q60</f>
        <v>3387.80704736637</v>
      </c>
      <c r="R42" s="82" t="n">
        <f aca="false">Calcs!R60</f>
        <v>3464.03270593211</v>
      </c>
      <c r="S42" s="82" t="n">
        <f aca="false">Calcs!S60</f>
        <v>3541.97344181558</v>
      </c>
    </row>
    <row r="43" customFormat="false" ht="15" hidden="false" customHeight="true" outlineLevel="0" collapsed="false">
      <c r="B43" s="8" t="s">
        <v>304</v>
      </c>
      <c r="C43" s="29" t="s">
        <v>121</v>
      </c>
      <c r="D43" s="32" t="n">
        <f aca="false">Assumptions!$D$63*D37*Calcs!D9</f>
        <v>625</v>
      </c>
      <c r="E43" s="32" t="n">
        <f aca="false">Assumptions!$D$63*E37*Calcs!E9</f>
        <v>603.65625</v>
      </c>
      <c r="F43" s="32" t="n">
        <f aca="false">Assumptions!$D$63*F37*Calcs!F9</f>
        <v>620.256796875</v>
      </c>
      <c r="G43" s="32" t="n">
        <f aca="false">Assumptions!$D$63*G37*Calcs!G9</f>
        <v>637.313858789063</v>
      </c>
      <c r="H43" s="32" t="n">
        <f aca="false">Assumptions!$D$63*H37*Calcs!H9</f>
        <v>651.653420611817</v>
      </c>
      <c r="I43" s="32" t="n">
        <f aca="false">Assumptions!$D$63*I37*Calcs!I9</f>
        <v>666.315622575582</v>
      </c>
      <c r="J43" s="32" t="n">
        <f aca="false">Assumptions!$D$63*J37*Calcs!J9</f>
        <v>681.307724083533</v>
      </c>
      <c r="K43" s="32" t="n">
        <f aca="false">Assumptions!$D$63*K37*Calcs!K9</f>
        <v>696.637147875412</v>
      </c>
      <c r="L43" s="32" t="n">
        <f aca="false">Assumptions!$D$63*L37*Calcs!L9</f>
        <v>712.311483702609</v>
      </c>
      <c r="M43" s="32" t="n">
        <f aca="false">Assumptions!$D$63*M37*Calcs!M9</f>
        <v>728.338492085918</v>
      </c>
      <c r="N43" s="32" t="n">
        <f aca="false">Assumptions!$D$63*N37*Calcs!N9</f>
        <v>744.726108157851</v>
      </c>
      <c r="O43" s="32" t="n">
        <f aca="false">Assumptions!$D$63*O37*Calcs!O9</f>
        <v>810.08770807596</v>
      </c>
      <c r="P43" s="32" t="n">
        <f aca="false">Assumptions!$D$63*P37*Calcs!P9</f>
        <v>828.314681507669</v>
      </c>
      <c r="Q43" s="32" t="n">
        <f aca="false">Assumptions!$D$63*Q37*Calcs!Q9</f>
        <v>846.951761841592</v>
      </c>
      <c r="R43" s="32" t="n">
        <f aca="false">Assumptions!$D$63*R37*Calcs!R9</f>
        <v>866.008176483028</v>
      </c>
      <c r="S43" s="32" t="n">
        <f aca="false">Assumptions!$D$63*S37*Calcs!S9</f>
        <v>885.493360453896</v>
      </c>
    </row>
    <row r="44" customFormat="false" ht="15" hidden="false" customHeight="true" outlineLevel="0" collapsed="false">
      <c r="B44" s="8" t="s">
        <v>305</v>
      </c>
      <c r="C44" s="29" t="s">
        <v>121</v>
      </c>
      <c r="D44" s="76" t="n">
        <f aca="false">SUM(D42:D43)</f>
        <v>3125</v>
      </c>
      <c r="E44" s="76" t="n">
        <f aca="false">SUM(E42:E43)</f>
        <v>3172.40625</v>
      </c>
      <c r="F44" s="76" t="n">
        <f aca="false">SUM(F42:F43)</f>
        <v>3259.647421875</v>
      </c>
      <c r="G44" s="76" t="n">
        <f aca="false">SUM(G42:G43)</f>
        <v>3349.28772597656</v>
      </c>
      <c r="H44" s="76" t="n">
        <f aca="false">SUM(H42:H43)</f>
        <v>3424.64669981104</v>
      </c>
      <c r="I44" s="76" t="n">
        <f aca="false">SUM(I42:I43)</f>
        <v>3501.70125055678</v>
      </c>
      <c r="J44" s="76" t="n">
        <f aca="false">SUM(J42:J43)</f>
        <v>3580.48952869431</v>
      </c>
      <c r="K44" s="76" t="n">
        <f aca="false">SUM(K42:K43)</f>
        <v>3661.05054308993</v>
      </c>
      <c r="L44" s="76" t="n">
        <f aca="false">SUM(L42:L43)</f>
        <v>3743.42418030946</v>
      </c>
      <c r="M44" s="76" t="n">
        <f aca="false">SUM(M42:M43)</f>
        <v>3827.65122436642</v>
      </c>
      <c r="N44" s="76" t="n">
        <f aca="false">SUM(N42:N43)</f>
        <v>3913.77337691466</v>
      </c>
      <c r="O44" s="76" t="n">
        <f aca="false">SUM(O42:O43)</f>
        <v>4050.4385403798</v>
      </c>
      <c r="P44" s="76" t="n">
        <f aca="false">SUM(P42:P43)</f>
        <v>4141.57340753835</v>
      </c>
      <c r="Q44" s="76" t="n">
        <f aca="false">SUM(Q42:Q43)</f>
        <v>4234.75880920796</v>
      </c>
      <c r="R44" s="76" t="n">
        <f aca="false">SUM(R42:R43)</f>
        <v>4330.04088241514</v>
      </c>
      <c r="S44" s="76" t="n">
        <f aca="false">SUM(S42:S43)</f>
        <v>4427.46680226948</v>
      </c>
    </row>
    <row r="46" customFormat="false" ht="15" hidden="false" customHeight="true" outlineLevel="0" collapsed="false">
      <c r="B46" s="8" t="s">
        <v>168</v>
      </c>
      <c r="C46" s="29" t="s">
        <v>121</v>
      </c>
      <c r="D46" s="77" t="n">
        <f aca="false">D41-D44</f>
        <v>8750</v>
      </c>
      <c r="E46" s="77" t="n">
        <f aca="false">E41-E44</f>
        <v>8165.70071517413</v>
      </c>
      <c r="F46" s="77" t="n">
        <f aca="false">F41-F44</f>
        <v>8223.81727050468</v>
      </c>
      <c r="G46" s="77" t="n">
        <f aca="false">G41-G44</f>
        <v>8248.02309194381</v>
      </c>
      <c r="H46" s="77" t="n">
        <f aca="false">H41-H44</f>
        <v>8196.87619160934</v>
      </c>
      <c r="I46" s="77" t="n">
        <f aca="false">I41-I44</f>
        <v>8111.20406196075</v>
      </c>
      <c r="J46" s="77" t="n">
        <f aca="false">J41-J44</f>
        <v>7991.60897748481</v>
      </c>
      <c r="K46" s="77" t="n">
        <f aca="false">K41-K44</f>
        <v>7839.15135837336</v>
      </c>
      <c r="L46" s="77" t="n">
        <f aca="false">L41-L44</f>
        <v>8161.48652831582</v>
      </c>
      <c r="M46" s="77" t="n">
        <f aca="false">M41-M44</f>
        <v>8382.46778931466</v>
      </c>
      <c r="N46" s="77" t="n">
        <f aca="false">N41-N44</f>
        <v>7201.38472118579</v>
      </c>
      <c r="O46" s="77" t="n">
        <f aca="false">O41-O44</f>
        <v>2224.35144706998</v>
      </c>
      <c r="P46" s="77" t="n">
        <f aca="false">P41-P44</f>
        <v>1896.43205208315</v>
      </c>
      <c r="Q46" s="77" t="n">
        <f aca="false">Q41-Q44</f>
        <v>1548.11965916192</v>
      </c>
      <c r="R46" s="77" t="n">
        <f aca="false">R41-R44</f>
        <v>1182.60962014306</v>
      </c>
      <c r="S46" s="77" t="n">
        <f aca="false">S41-S44</f>
        <v>803.141116436907</v>
      </c>
    </row>
    <row r="47" customFormat="false" ht="15" hidden="false" customHeight="true" outlineLevel="0" collapsed="false">
      <c r="B47" s="8" t="s">
        <v>306</v>
      </c>
      <c r="C47" s="29" t="s">
        <v>121</v>
      </c>
      <c r="E47" s="82" t="n">
        <f aca="false">Calcs!E67</f>
        <v>4500</v>
      </c>
      <c r="F47" s="82" t="n">
        <f aca="false">Calcs!F67</f>
        <v>4500</v>
      </c>
      <c r="G47" s="82" t="n">
        <f aca="false">Calcs!G67</f>
        <v>4500</v>
      </c>
      <c r="H47" s="82" t="n">
        <f aca="false">Calcs!H67</f>
        <v>4500</v>
      </c>
      <c r="I47" s="82" t="n">
        <f aca="false">Calcs!I67</f>
        <v>4500</v>
      </c>
      <c r="J47" s="82" t="n">
        <f aca="false">Calcs!J67</f>
        <v>4500</v>
      </c>
      <c r="K47" s="82" t="n">
        <f aca="false">Calcs!K67</f>
        <v>4500</v>
      </c>
      <c r="L47" s="82" t="n">
        <f aca="false">Calcs!L67</f>
        <v>4500</v>
      </c>
      <c r="M47" s="82" t="n">
        <f aca="false">Calcs!M67</f>
        <v>4500</v>
      </c>
      <c r="N47" s="82" t="n">
        <f aca="false">Calcs!N67</f>
        <v>4500</v>
      </c>
      <c r="O47" s="82" t="n">
        <f aca="false">Calcs!O67</f>
        <v>4500</v>
      </c>
      <c r="P47" s="82" t="n">
        <f aca="false">Calcs!P67</f>
        <v>4500</v>
      </c>
      <c r="Q47" s="82" t="n">
        <f aca="false">Calcs!Q67</f>
        <v>4500</v>
      </c>
      <c r="R47" s="82" t="n">
        <f aca="false">Calcs!R67</f>
        <v>4500</v>
      </c>
      <c r="S47" s="82" t="n">
        <f aca="false">Calcs!S67</f>
        <v>4500</v>
      </c>
    </row>
    <row r="49" customFormat="false" ht="15" hidden="false" customHeight="true" outlineLevel="0" collapsed="false">
      <c r="B49" s="8" t="s">
        <v>307</v>
      </c>
      <c r="C49" s="29" t="s">
        <v>121</v>
      </c>
      <c r="E49" s="82" t="n">
        <f aca="false">Calcs!E131</f>
        <v>2064.9084171109</v>
      </c>
      <c r="F49" s="82" t="n">
        <f aca="false">Calcs!F131</f>
        <v>1935.77601169195</v>
      </c>
      <c r="G49" s="82" t="n">
        <f aca="false">Calcs!G131</f>
        <v>1893.44829472596</v>
      </c>
      <c r="H49" s="82" t="n">
        <f aca="false">Calcs!H131</f>
        <v>1848.32571657275</v>
      </c>
      <c r="I49" s="82" t="n">
        <f aca="false">Calcs!I131</f>
        <v>1761.59591154471</v>
      </c>
      <c r="J49" s="82" t="n">
        <f aca="false">Calcs!J131</f>
        <v>1598.61304499982</v>
      </c>
      <c r="K49" s="82" t="n">
        <f aca="false">Calcs!K131</f>
        <v>1379.30916489987</v>
      </c>
      <c r="L49" s="82" t="n">
        <f aca="false">Calcs!L131</f>
        <v>1142.08189106361</v>
      </c>
      <c r="M49" s="82" t="n">
        <f aca="false">Calcs!M131</f>
        <v>867.063092342201</v>
      </c>
      <c r="N49" s="82" t="n">
        <f aca="false">Calcs!N131</f>
        <v>571.679094821998</v>
      </c>
      <c r="O49" s="82" t="n">
        <f aca="false">Calcs!O131</f>
        <v>279.042898528971</v>
      </c>
      <c r="P49" s="82" t="n">
        <f aca="false">Calcs!P131</f>
        <v>166.299803970749</v>
      </c>
      <c r="Q49" s="82" t="n">
        <f aca="false">Calcs!Q131</f>
        <v>0</v>
      </c>
      <c r="R49" s="82" t="n">
        <f aca="false">Calcs!R131</f>
        <v>0</v>
      </c>
      <c r="S49" s="82" t="n">
        <f aca="false">Calcs!S131</f>
        <v>0</v>
      </c>
    </row>
    <row r="50" customFormat="false" ht="15" hidden="false" customHeight="true" outlineLevel="0" collapsed="false">
      <c r="B50" s="8" t="s">
        <v>308</v>
      </c>
      <c r="C50" s="29" t="s">
        <v>121</v>
      </c>
      <c r="E50" s="32" t="n">
        <f aca="false">Assumptions!$D$70*MAX(E46,0)</f>
        <v>2449.71021455224</v>
      </c>
      <c r="F50" s="32" t="n">
        <f aca="false">Assumptions!$D$70*MAX(F46,0)</f>
        <v>2467.1451811514</v>
      </c>
      <c r="G50" s="32" t="n">
        <f aca="false">Assumptions!$D$70*MAX(G46,0)</f>
        <v>2474.40692758314</v>
      </c>
      <c r="H50" s="32" t="n">
        <f aca="false">Assumptions!$D$70*MAX(H46,0)</f>
        <v>2459.0628574828</v>
      </c>
      <c r="I50" s="32" t="n">
        <f aca="false">Assumptions!$D$70*MAX(I46,0)</f>
        <v>2433.36121858823</v>
      </c>
      <c r="J50" s="32" t="n">
        <f aca="false">Assumptions!$D$70*MAX(J46,0)</f>
        <v>2397.48269324544</v>
      </c>
      <c r="K50" s="32" t="n">
        <f aca="false">Assumptions!$D$70*MAX(K46,0)</f>
        <v>2351.74540751201</v>
      </c>
      <c r="L50" s="32" t="n">
        <f aca="false">Assumptions!$D$70*MAX(L46,0)</f>
        <v>2448.44595849475</v>
      </c>
      <c r="M50" s="32" t="n">
        <f aca="false">Assumptions!$D$70*MAX(M46,0)</f>
        <v>2514.7403367944</v>
      </c>
      <c r="N50" s="32" t="n">
        <f aca="false">Assumptions!$D$70*MAX(N46,0)</f>
        <v>2160.41541635574</v>
      </c>
      <c r="O50" s="32" t="n">
        <f aca="false">Assumptions!$D$70*MAX(O46,0)</f>
        <v>667.305434120993</v>
      </c>
      <c r="P50" s="32" t="n">
        <f aca="false">Assumptions!$D$70*MAX(P46,0)</f>
        <v>568.929615624944</v>
      </c>
      <c r="Q50" s="32" t="n">
        <f aca="false">Assumptions!$D$70*MAX(Q46,0)</f>
        <v>464.435897748576</v>
      </c>
      <c r="R50" s="32" t="n">
        <f aca="false">Assumptions!$D$70*MAX(R46,0)</f>
        <v>354.782886042918</v>
      </c>
      <c r="S50" s="32" t="n">
        <f aca="false">Assumptions!$D$70*MAX(S46,0)</f>
        <v>240.942334931072</v>
      </c>
    </row>
    <row r="51" customFormat="false" ht="15" hidden="false" customHeight="true" outlineLevel="0" collapsed="false">
      <c r="B51" s="8" t="s">
        <v>309</v>
      </c>
      <c r="C51" s="29" t="s">
        <v>121</v>
      </c>
      <c r="E51" s="32" t="n">
        <f aca="false">D54</f>
        <v>0</v>
      </c>
      <c r="F51" s="32" t="n">
        <f aca="false">E54</f>
        <v>0</v>
      </c>
      <c r="G51" s="32" t="n">
        <f aca="false">F54</f>
        <v>0</v>
      </c>
      <c r="H51" s="32" t="n">
        <f aca="false">G54</f>
        <v>0</v>
      </c>
      <c r="I51" s="32" t="n">
        <f aca="false">H54</f>
        <v>0</v>
      </c>
      <c r="J51" s="32" t="n">
        <f aca="false">I54</f>
        <v>0</v>
      </c>
      <c r="K51" s="32" t="n">
        <f aca="false">J54</f>
        <v>0</v>
      </c>
      <c r="L51" s="32" t="n">
        <f aca="false">K54</f>
        <v>0</v>
      </c>
      <c r="M51" s="32" t="n">
        <f aca="false">L54</f>
        <v>0</v>
      </c>
      <c r="N51" s="32" t="n">
        <f aca="false">M54</f>
        <v>0</v>
      </c>
      <c r="O51" s="32" t="n">
        <f aca="false">N54</f>
        <v>0</v>
      </c>
      <c r="P51" s="32" t="n">
        <f aca="false">O54</f>
        <v>0</v>
      </c>
      <c r="Q51" s="32" t="n">
        <f aca="false">P54</f>
        <v>0</v>
      </c>
      <c r="R51" s="32" t="n">
        <f aca="false">Q54</f>
        <v>0</v>
      </c>
      <c r="S51" s="32" t="n">
        <f aca="false">R54</f>
        <v>0</v>
      </c>
    </row>
    <row r="52" customFormat="false" ht="15" hidden="false" customHeight="true" outlineLevel="0" collapsed="false">
      <c r="B52" s="8" t="s">
        <v>211</v>
      </c>
      <c r="C52" s="29" t="s">
        <v>121</v>
      </c>
      <c r="E52" s="32" t="n">
        <f aca="false">MIN(E49,E50)</f>
        <v>2064.9084171109</v>
      </c>
      <c r="F52" s="32" t="n">
        <f aca="false">MIN(F49,F50)</f>
        <v>1935.77601169195</v>
      </c>
      <c r="G52" s="32" t="n">
        <f aca="false">MIN(G49,G50)</f>
        <v>1893.44829472596</v>
      </c>
      <c r="H52" s="32" t="n">
        <f aca="false">MIN(H49,H50)</f>
        <v>1848.32571657275</v>
      </c>
      <c r="I52" s="32" t="n">
        <f aca="false">MIN(I49,I50)</f>
        <v>1761.59591154471</v>
      </c>
      <c r="J52" s="32" t="n">
        <f aca="false">MIN(J49,J50)</f>
        <v>1598.61304499982</v>
      </c>
      <c r="K52" s="32" t="n">
        <f aca="false">MIN(K49,K50)</f>
        <v>1379.30916489987</v>
      </c>
      <c r="L52" s="32" t="n">
        <f aca="false">MIN(L49,L50)</f>
        <v>1142.08189106361</v>
      </c>
      <c r="M52" s="32" t="n">
        <f aca="false">MIN(M49,M50)</f>
        <v>867.063092342201</v>
      </c>
      <c r="N52" s="32" t="n">
        <f aca="false">MIN(N49,N50)</f>
        <v>571.679094821998</v>
      </c>
      <c r="O52" s="32" t="n">
        <f aca="false">MIN(O49,O50)</f>
        <v>279.042898528971</v>
      </c>
      <c r="P52" s="32" t="n">
        <f aca="false">MIN(P49,P50)</f>
        <v>166.299803970749</v>
      </c>
      <c r="Q52" s="32" t="n">
        <f aca="false">MIN(Q49,Q50)</f>
        <v>0</v>
      </c>
      <c r="R52" s="32" t="n">
        <f aca="false">MIN(R49,R50)</f>
        <v>0</v>
      </c>
      <c r="S52" s="32" t="n">
        <f aca="false">MIN(S49,S50)</f>
        <v>0</v>
      </c>
    </row>
    <row r="53" customFormat="false" ht="15" hidden="false" customHeight="true" outlineLevel="0" collapsed="false">
      <c r="B53" s="8" t="s">
        <v>310</v>
      </c>
      <c r="C53" s="29" t="s">
        <v>121</v>
      </c>
      <c r="E53" s="32" t="n">
        <f aca="false">MIN(E51,MAX(E50-E49,0))</f>
        <v>0</v>
      </c>
      <c r="F53" s="32" t="n">
        <f aca="false">MIN(F51,MAX(F50-F49,0))</f>
        <v>0</v>
      </c>
      <c r="G53" s="32" t="n">
        <f aca="false">MIN(G51,MAX(G50-G49,0))</f>
        <v>0</v>
      </c>
      <c r="H53" s="32" t="n">
        <f aca="false">MIN(H51,MAX(H50-H49,0))</f>
        <v>0</v>
      </c>
      <c r="I53" s="32" t="n">
        <f aca="false">MIN(I51,MAX(I50-I49,0))</f>
        <v>0</v>
      </c>
      <c r="J53" s="32" t="n">
        <f aca="false">MIN(J51,MAX(J50-J49,0))</f>
        <v>0</v>
      </c>
      <c r="K53" s="32" t="n">
        <f aca="false">MIN(K51,MAX(K50-K49,0))</f>
        <v>0</v>
      </c>
      <c r="L53" s="32" t="n">
        <f aca="false">MIN(L51,MAX(L50-L49,0))</f>
        <v>0</v>
      </c>
      <c r="M53" s="32" t="n">
        <f aca="false">MIN(M51,MAX(M50-M49,0))</f>
        <v>0</v>
      </c>
      <c r="N53" s="32" t="n">
        <f aca="false">MIN(N51,MAX(N50-N49,0))</f>
        <v>0</v>
      </c>
      <c r="O53" s="32" t="n">
        <f aca="false">MIN(O51,MAX(O50-O49,0))</f>
        <v>0</v>
      </c>
      <c r="P53" s="32" t="n">
        <f aca="false">MIN(P51,MAX(P50-P49,0))</f>
        <v>0</v>
      </c>
      <c r="Q53" s="32" t="n">
        <f aca="false">MIN(Q51,MAX(Q50-Q49,0))</f>
        <v>0</v>
      </c>
      <c r="R53" s="32" t="n">
        <f aca="false">MIN(R51,MAX(R50-R49,0))</f>
        <v>0</v>
      </c>
      <c r="S53" s="32" t="n">
        <f aca="false">MIN(S51,MAX(S50-S49,0))</f>
        <v>0</v>
      </c>
    </row>
    <row r="54" customFormat="false" ht="15" hidden="false" customHeight="true" outlineLevel="0" collapsed="false">
      <c r="B54" s="8" t="s">
        <v>311</v>
      </c>
      <c r="C54" s="29" t="s">
        <v>121</v>
      </c>
      <c r="D54" s="47" t="n">
        <v>0</v>
      </c>
      <c r="E54" s="32" t="n">
        <f aca="false">E51+MAX(E49-E50,0)-E53</f>
        <v>0</v>
      </c>
      <c r="F54" s="32" t="n">
        <f aca="false">F51+MAX(F49-F50,0)-F53</f>
        <v>0</v>
      </c>
      <c r="G54" s="32" t="n">
        <f aca="false">G51+MAX(G49-G50,0)-G53</f>
        <v>0</v>
      </c>
      <c r="H54" s="32" t="n">
        <f aca="false">H51+MAX(H49-H50,0)-H53</f>
        <v>0</v>
      </c>
      <c r="I54" s="32" t="n">
        <f aca="false">I51+MAX(I49-I50,0)-I53</f>
        <v>0</v>
      </c>
      <c r="J54" s="32" t="n">
        <f aca="false">J51+MAX(J49-J50,0)-J53</f>
        <v>0</v>
      </c>
      <c r="K54" s="32" t="n">
        <f aca="false">K51+MAX(K49-K50,0)-K53</f>
        <v>0</v>
      </c>
      <c r="L54" s="32" t="n">
        <f aca="false">L51+MAX(L49-L50,0)-L53</f>
        <v>0</v>
      </c>
      <c r="M54" s="32" t="n">
        <f aca="false">M51+MAX(M49-M50,0)-M53</f>
        <v>0</v>
      </c>
      <c r="N54" s="32" t="n">
        <f aca="false">N51+MAX(N49-N50,0)-N53</f>
        <v>0</v>
      </c>
      <c r="O54" s="32" t="n">
        <f aca="false">O51+MAX(O49-O50,0)-O53</f>
        <v>0</v>
      </c>
      <c r="P54" s="32" t="n">
        <f aca="false">P51+MAX(P49-P50,0)-P53</f>
        <v>0</v>
      </c>
      <c r="Q54" s="32" t="n">
        <f aca="false">Q51+MAX(Q49-Q50,0)-Q53</f>
        <v>0</v>
      </c>
      <c r="R54" s="32" t="n">
        <f aca="false">R51+MAX(R49-R50,0)-R53</f>
        <v>0</v>
      </c>
      <c r="S54" s="32" t="n">
        <f aca="false">S51+MAX(S49-S50,0)-S53</f>
        <v>0</v>
      </c>
    </row>
    <row r="55" customFormat="false" ht="15" hidden="false" customHeight="true" outlineLevel="0" collapsed="false">
      <c r="B55" s="8" t="s">
        <v>214</v>
      </c>
      <c r="C55" s="29" t="s">
        <v>121</v>
      </c>
      <c r="E55" s="32" t="n">
        <f aca="false">E52+E53</f>
        <v>2064.9084171109</v>
      </c>
      <c r="F55" s="32" t="n">
        <f aca="false">F52+F53</f>
        <v>1935.77601169195</v>
      </c>
      <c r="G55" s="32" t="n">
        <f aca="false">G52+G53</f>
        <v>1893.44829472596</v>
      </c>
      <c r="H55" s="32" t="n">
        <f aca="false">H52+H53</f>
        <v>1848.32571657275</v>
      </c>
      <c r="I55" s="32" t="n">
        <f aca="false">I52+I53</f>
        <v>1761.59591154471</v>
      </c>
      <c r="J55" s="32" t="n">
        <f aca="false">J52+J53</f>
        <v>1598.61304499982</v>
      </c>
      <c r="K55" s="32" t="n">
        <f aca="false">K52+K53</f>
        <v>1379.30916489987</v>
      </c>
      <c r="L55" s="32" t="n">
        <f aca="false">L52+L53</f>
        <v>1142.08189106361</v>
      </c>
      <c r="M55" s="32" t="n">
        <f aca="false">M52+M53</f>
        <v>867.063092342201</v>
      </c>
      <c r="N55" s="32" t="n">
        <f aca="false">N52+N53</f>
        <v>571.679094821998</v>
      </c>
      <c r="O55" s="32" t="n">
        <f aca="false">O52+O53</f>
        <v>279.042898528971</v>
      </c>
      <c r="P55" s="32" t="n">
        <f aca="false">P52+P53</f>
        <v>166.299803970749</v>
      </c>
      <c r="Q55" s="32" t="n">
        <f aca="false">Q52+Q53</f>
        <v>0</v>
      </c>
      <c r="R55" s="32" t="n">
        <f aca="false">R52+R53</f>
        <v>0</v>
      </c>
      <c r="S55" s="32" t="n">
        <f aca="false">S52+S53</f>
        <v>0</v>
      </c>
    </row>
    <row r="57" customFormat="false" ht="15" hidden="false" customHeight="true" outlineLevel="0" collapsed="false">
      <c r="B57" s="8" t="s">
        <v>312</v>
      </c>
      <c r="C57" s="29" t="s">
        <v>121</v>
      </c>
      <c r="E57" s="32" t="n">
        <f aca="false">E46-E47-E55</f>
        <v>1600.79229806323</v>
      </c>
      <c r="F57" s="32" t="n">
        <f aca="false">F46-F47-F55</f>
        <v>1788.04125881273</v>
      </c>
      <c r="G57" s="32" t="n">
        <f aca="false">G46-G47-G55</f>
        <v>1854.57479721785</v>
      </c>
      <c r="H57" s="32" t="n">
        <f aca="false">H46-H47-H55</f>
        <v>1848.55047503659</v>
      </c>
      <c r="I57" s="32" t="n">
        <f aca="false">I46-I47-I55</f>
        <v>1849.60815041604</v>
      </c>
      <c r="J57" s="32" t="n">
        <f aca="false">J46-J47-J55</f>
        <v>1892.99593248499</v>
      </c>
      <c r="K57" s="32" t="n">
        <f aca="false">K46-K47-K55</f>
        <v>1959.84219347349</v>
      </c>
      <c r="L57" s="32" t="n">
        <f aca="false">L46-L47-L55</f>
        <v>2519.4046372522</v>
      </c>
      <c r="M57" s="32" t="n">
        <f aca="false">M46-M47-M55</f>
        <v>3015.40469697245</v>
      </c>
      <c r="N57" s="32" t="n">
        <f aca="false">N46-N47-N55</f>
        <v>2129.70562636379</v>
      </c>
      <c r="O57" s="32" t="n">
        <f aca="false">O46-O47-O55</f>
        <v>-2554.69145145899</v>
      </c>
      <c r="P57" s="32" t="n">
        <f aca="false">P46-P47-P55</f>
        <v>-2769.8677518876</v>
      </c>
      <c r="Q57" s="32" t="n">
        <f aca="false">Q46-Q47-Q55</f>
        <v>-2951.88034083808</v>
      </c>
      <c r="R57" s="32" t="n">
        <f aca="false">R46-R47-R55</f>
        <v>-3317.39037985694</v>
      </c>
      <c r="S57" s="32" t="n">
        <f aca="false">S46-S47-S55</f>
        <v>-3696.85888356309</v>
      </c>
    </row>
    <row r="58" customFormat="false" ht="15" hidden="false" customHeight="true" outlineLevel="0" collapsed="false">
      <c r="B58" s="8" t="s">
        <v>313</v>
      </c>
      <c r="C58" s="29" t="s">
        <v>121</v>
      </c>
      <c r="E58" s="32" t="n">
        <f aca="false">D60</f>
        <v>0</v>
      </c>
      <c r="F58" s="32" t="n">
        <f aca="false">E60</f>
        <v>0</v>
      </c>
      <c r="G58" s="32" t="n">
        <f aca="false">F60</f>
        <v>0</v>
      </c>
      <c r="H58" s="32" t="n">
        <f aca="false">G60</f>
        <v>0</v>
      </c>
      <c r="I58" s="32" t="n">
        <f aca="false">H60</f>
        <v>0</v>
      </c>
      <c r="J58" s="32" t="n">
        <f aca="false">I60</f>
        <v>0</v>
      </c>
      <c r="K58" s="32" t="n">
        <f aca="false">J60</f>
        <v>0</v>
      </c>
      <c r="L58" s="32" t="n">
        <f aca="false">K60</f>
        <v>0</v>
      </c>
      <c r="M58" s="32" t="n">
        <f aca="false">L60</f>
        <v>0</v>
      </c>
      <c r="N58" s="32" t="n">
        <f aca="false">M60</f>
        <v>0</v>
      </c>
      <c r="O58" s="32" t="n">
        <f aca="false">N60</f>
        <v>0</v>
      </c>
      <c r="P58" s="32" t="n">
        <f aca="false">O60</f>
        <v>2554.69145145899</v>
      </c>
      <c r="Q58" s="32" t="n">
        <f aca="false">P60</f>
        <v>5324.5592033466</v>
      </c>
      <c r="R58" s="32" t="n">
        <f aca="false">Q60</f>
        <v>8276.43954418468</v>
      </c>
      <c r="S58" s="32" t="n">
        <f aca="false">R60</f>
        <v>11593.8299240416</v>
      </c>
    </row>
    <row r="59" customFormat="false" ht="15" hidden="false" customHeight="true" outlineLevel="0" collapsed="false">
      <c r="B59" s="8" t="s">
        <v>218</v>
      </c>
      <c r="C59" s="29" t="s">
        <v>121</v>
      </c>
      <c r="E59" s="32" t="n">
        <f aca="false">MAX(E57-E58,0)</f>
        <v>1600.79229806323</v>
      </c>
      <c r="F59" s="32" t="n">
        <f aca="false">MAX(F57-F58,0)</f>
        <v>1788.04125881273</v>
      </c>
      <c r="G59" s="32" t="n">
        <f aca="false">MAX(G57-G58,0)</f>
        <v>1854.57479721785</v>
      </c>
      <c r="H59" s="32" t="n">
        <f aca="false">MAX(H57-H58,0)</f>
        <v>1848.55047503659</v>
      </c>
      <c r="I59" s="32" t="n">
        <f aca="false">MAX(I57-I58,0)</f>
        <v>1849.60815041604</v>
      </c>
      <c r="J59" s="32" t="n">
        <f aca="false">MAX(J57-J58,0)</f>
        <v>1892.99593248499</v>
      </c>
      <c r="K59" s="32" t="n">
        <f aca="false">MAX(K57-K58,0)</f>
        <v>1959.84219347349</v>
      </c>
      <c r="L59" s="32" t="n">
        <f aca="false">MAX(L57-L58,0)</f>
        <v>2519.4046372522</v>
      </c>
      <c r="M59" s="32" t="n">
        <f aca="false">MAX(M57-M58,0)</f>
        <v>3015.40469697245</v>
      </c>
      <c r="N59" s="32" t="n">
        <f aca="false">MAX(N57-N58,0)</f>
        <v>2129.70562636379</v>
      </c>
      <c r="O59" s="32" t="n">
        <f aca="false">MAX(O57-O58,0)</f>
        <v>0</v>
      </c>
      <c r="P59" s="32" t="n">
        <f aca="false">MAX(P57-P58,0)</f>
        <v>0</v>
      </c>
      <c r="Q59" s="32" t="n">
        <f aca="false">MAX(Q57-Q58,0)</f>
        <v>0</v>
      </c>
      <c r="R59" s="32" t="n">
        <f aca="false">MAX(R57-R58,0)</f>
        <v>0</v>
      </c>
      <c r="S59" s="32" t="n">
        <f aca="false">MAX(S57-S58,0)</f>
        <v>0</v>
      </c>
    </row>
    <row r="60" customFormat="false" ht="15" hidden="false" customHeight="true" outlineLevel="0" collapsed="false">
      <c r="B60" s="8" t="s">
        <v>314</v>
      </c>
      <c r="C60" s="29" t="s">
        <v>121</v>
      </c>
      <c r="D60" s="47" t="n">
        <v>0</v>
      </c>
      <c r="E60" s="32" t="n">
        <f aca="false">MAX(E58-E57,0)</f>
        <v>0</v>
      </c>
      <c r="F60" s="32" t="n">
        <f aca="false">MAX(F58-F57,0)</f>
        <v>0</v>
      </c>
      <c r="G60" s="32" t="n">
        <f aca="false">MAX(G58-G57,0)</f>
        <v>0</v>
      </c>
      <c r="H60" s="32" t="n">
        <f aca="false">MAX(H58-H57,0)</f>
        <v>0</v>
      </c>
      <c r="I60" s="32" t="n">
        <f aca="false">MAX(I58-I57,0)</f>
        <v>0</v>
      </c>
      <c r="J60" s="32" t="n">
        <f aca="false">MAX(J58-J57,0)</f>
        <v>0</v>
      </c>
      <c r="K60" s="32" t="n">
        <f aca="false">MAX(K58-K57,0)</f>
        <v>0</v>
      </c>
      <c r="L60" s="32" t="n">
        <f aca="false">MAX(L58-L57,0)</f>
        <v>0</v>
      </c>
      <c r="M60" s="32" t="n">
        <f aca="false">MAX(M58-M57,0)</f>
        <v>0</v>
      </c>
      <c r="N60" s="32" t="n">
        <f aca="false">MAX(N58-N57,0)</f>
        <v>0</v>
      </c>
      <c r="O60" s="32" t="n">
        <f aca="false">MAX(O58-O57,0)</f>
        <v>2554.69145145899</v>
      </c>
      <c r="P60" s="32" t="n">
        <f aca="false">MAX(P58-P57,0)</f>
        <v>5324.5592033466</v>
      </c>
      <c r="Q60" s="32" t="n">
        <f aca="false">MAX(Q58-Q57,0)</f>
        <v>8276.43954418468</v>
      </c>
      <c r="R60" s="32" t="n">
        <f aca="false">MAX(R58-R57,0)</f>
        <v>11593.8299240416</v>
      </c>
      <c r="S60" s="32" t="n">
        <f aca="false">MAX(S58-S57,0)</f>
        <v>15290.6888076047</v>
      </c>
    </row>
    <row r="61" customFormat="false" ht="15" hidden="false" customHeight="true" outlineLevel="0" collapsed="false">
      <c r="B61" s="8" t="s">
        <v>315</v>
      </c>
      <c r="C61" s="29" t="s">
        <v>121</v>
      </c>
      <c r="E61" s="32" t="n">
        <f aca="false">E59*Assumptions!$D$69</f>
        <v>400.198074515807</v>
      </c>
      <c r="F61" s="32" t="n">
        <f aca="false">F59*Assumptions!$D$69</f>
        <v>447.010314703183</v>
      </c>
      <c r="G61" s="32" t="n">
        <f aca="false">G59*Assumptions!$D$69</f>
        <v>463.643699304463</v>
      </c>
      <c r="H61" s="32" t="n">
        <f aca="false">H59*Assumptions!$D$69</f>
        <v>462.137618759148</v>
      </c>
      <c r="I61" s="32" t="n">
        <f aca="false">I59*Assumptions!$D$69</f>
        <v>462.402037604011</v>
      </c>
      <c r="J61" s="32" t="n">
        <f aca="false">J59*Assumptions!$D$69</f>
        <v>473.248983121248</v>
      </c>
      <c r="K61" s="32" t="n">
        <f aca="false">K59*Assumptions!$D$69</f>
        <v>489.960548368373</v>
      </c>
      <c r="L61" s="32" t="n">
        <f aca="false">L59*Assumptions!$D$69</f>
        <v>629.851159313051</v>
      </c>
      <c r="M61" s="32" t="n">
        <f aca="false">M59*Assumptions!$D$69</f>
        <v>753.851174243114</v>
      </c>
      <c r="N61" s="32" t="n">
        <f aca="false">N59*Assumptions!$D$69</f>
        <v>532.426406590947</v>
      </c>
      <c r="O61" s="32" t="n">
        <f aca="false">O59*Assumptions!$D$69</f>
        <v>0</v>
      </c>
      <c r="P61" s="32" t="n">
        <f aca="false">P59*Assumptions!$D$69</f>
        <v>0</v>
      </c>
      <c r="Q61" s="32" t="n">
        <f aca="false">Q59*Assumptions!$D$69</f>
        <v>0</v>
      </c>
      <c r="R61" s="32" t="n">
        <f aca="false">R59*Assumptions!$D$69</f>
        <v>0</v>
      </c>
      <c r="S61" s="32" t="n">
        <f aca="false">S59*Assumptions!$D$69</f>
        <v>0</v>
      </c>
    </row>
    <row r="63" customFormat="false" ht="15" hidden="false" customHeight="true" outlineLevel="0" collapsed="false">
      <c r="B63" s="8" t="s">
        <v>316</v>
      </c>
      <c r="C63" s="29" t="s">
        <v>121</v>
      </c>
      <c r="D63" s="32" t="n">
        <f aca="false">D41*Calcs!D73/365</f>
        <v>1200</v>
      </c>
      <c r="E63" s="32" t="n">
        <f aca="false">E41*Calcs!E73/365</f>
        <v>1145.74554595444</v>
      </c>
      <c r="F63" s="32" t="n">
        <f aca="false">F41*Calcs!F73/365</f>
        <v>1160.43432680889</v>
      </c>
      <c r="G63" s="32" t="n">
        <f aca="false">G41*Calcs!G73/365</f>
        <v>1171.93877738985</v>
      </c>
      <c r="H63" s="32" t="n">
        <f aca="false">H41*Calcs!H73/365</f>
        <v>1174.38547113301</v>
      </c>
      <c r="I63" s="32" t="n">
        <f aca="false">I41*Calcs!I73/365</f>
        <v>1173.51464210704</v>
      </c>
      <c r="J63" s="32" t="n">
        <f aca="false">J41*Calcs!J73/365</f>
        <v>1169.39100694021</v>
      </c>
      <c r="K63" s="32" t="n">
        <f aca="false">K41*Calcs!K73/365</f>
        <v>1162.12566583208</v>
      </c>
      <c r="L63" s="32" t="n">
        <f aca="false">L41*Calcs!L73/365</f>
        <v>1203.02255581898</v>
      </c>
      <c r="M63" s="32" t="n">
        <f aca="false">M41*Calcs!M73/365</f>
        <v>1233.86465822461</v>
      </c>
      <c r="N63" s="32" t="n">
        <f aca="false">N41*Calcs!N73/365</f>
        <v>1123.2159762291</v>
      </c>
      <c r="O63" s="32" t="n">
        <f aca="false">O41*Calcs!O73/365</f>
        <v>634.08404083703</v>
      </c>
      <c r="P63" s="32" t="n">
        <f aca="false">P41*Calcs!P73/365</f>
        <v>610.156341182803</v>
      </c>
      <c r="Q63" s="32" t="n">
        <f aca="false">Q41*Calcs!Q73/365</f>
        <v>584.375087330009</v>
      </c>
      <c r="R63" s="32" t="n">
        <f aca="false">R41*Calcs!R73/365</f>
        <v>557.067840258513</v>
      </c>
      <c r="S63" s="32" t="n">
        <f aca="false">S41*Calcs!S73/365</f>
        <v>528.566694942961</v>
      </c>
    </row>
    <row r="64" customFormat="false" ht="15" hidden="false" customHeight="true" outlineLevel="0" collapsed="false">
      <c r="B64" s="8" t="s">
        <v>317</v>
      </c>
      <c r="C64" s="29" t="s">
        <v>121</v>
      </c>
      <c r="D64" s="32" t="n">
        <f aca="false">D44*Calcs!D74/365</f>
        <v>300</v>
      </c>
      <c r="E64" s="32" t="n">
        <f aca="false">E44*Calcs!E74/365</f>
        <v>304.551</v>
      </c>
      <c r="F64" s="32" t="n">
        <f aca="false">F44*Calcs!F74/365</f>
        <v>312.9261525</v>
      </c>
      <c r="G64" s="32" t="n">
        <f aca="false">G44*Calcs!G74/365</f>
        <v>321.53162169375</v>
      </c>
      <c r="H64" s="32" t="n">
        <f aca="false">H44*Calcs!H74/365</f>
        <v>328.766083181859</v>
      </c>
      <c r="I64" s="32" t="n">
        <f aca="false">I44*Calcs!I74/365</f>
        <v>336.163320053451</v>
      </c>
      <c r="J64" s="32" t="n">
        <f aca="false">J44*Calcs!J74/365</f>
        <v>343.726994754654</v>
      </c>
      <c r="K64" s="32" t="n">
        <f aca="false">K44*Calcs!K74/365</f>
        <v>351.460852136634</v>
      </c>
      <c r="L64" s="32" t="n">
        <f aca="false">L44*Calcs!L74/365</f>
        <v>359.368721309708</v>
      </c>
      <c r="M64" s="32" t="n">
        <f aca="false">M44*Calcs!M74/365</f>
        <v>367.454517539176</v>
      </c>
      <c r="N64" s="32" t="n">
        <f aca="false">N44*Calcs!N74/365</f>
        <v>375.722244183808</v>
      </c>
      <c r="O64" s="32" t="n">
        <f aca="false">O44*Calcs!O74/365</f>
        <v>388.842099876461</v>
      </c>
      <c r="P64" s="32" t="n">
        <f aca="false">P44*Calcs!P74/365</f>
        <v>397.591047123681</v>
      </c>
      <c r="Q64" s="32" t="n">
        <f aca="false">Q44*Calcs!Q74/365</f>
        <v>406.536845683964</v>
      </c>
      <c r="R64" s="32" t="n">
        <f aca="false">R44*Calcs!R74/365</f>
        <v>415.683924711853</v>
      </c>
      <c r="S64" s="32" t="n">
        <f aca="false">S44*Calcs!S74/365</f>
        <v>425.03681301787</v>
      </c>
    </row>
    <row r="65" customFormat="false" ht="15" hidden="false" customHeight="true" outlineLevel="0" collapsed="false">
      <c r="B65" s="8" t="s">
        <v>318</v>
      </c>
      <c r="C65" s="29" t="s">
        <v>121</v>
      </c>
      <c r="D65" s="32" t="n">
        <f aca="false">D63-D64</f>
        <v>900</v>
      </c>
      <c r="E65" s="32" t="n">
        <f aca="false">E63-E64</f>
        <v>841.194545954439</v>
      </c>
      <c r="F65" s="32" t="n">
        <f aca="false">F63-F64</f>
        <v>847.508174308894</v>
      </c>
      <c r="G65" s="32" t="n">
        <f aca="false">G63-G64</f>
        <v>850.407155696098</v>
      </c>
      <c r="H65" s="32" t="n">
        <f aca="false">H63-H64</f>
        <v>845.619387951148</v>
      </c>
      <c r="I65" s="32" t="n">
        <f aca="false">I63-I64</f>
        <v>837.351322053584</v>
      </c>
      <c r="J65" s="32" t="n">
        <f aca="false">J63-J64</f>
        <v>825.664012185552</v>
      </c>
      <c r="K65" s="32" t="n">
        <f aca="false">K63-K64</f>
        <v>810.664813695446</v>
      </c>
      <c r="L65" s="32" t="n">
        <f aca="false">L63-L64</f>
        <v>843.653834509267</v>
      </c>
      <c r="M65" s="32" t="n">
        <f aca="false">M63-M64</f>
        <v>866.410140685438</v>
      </c>
      <c r="N65" s="32" t="n">
        <f aca="false">N63-N64</f>
        <v>747.49373204529</v>
      </c>
      <c r="O65" s="32" t="n">
        <f aca="false">O63-O64</f>
        <v>245.241940960569</v>
      </c>
      <c r="P65" s="32" t="n">
        <f aca="false">P63-P64</f>
        <v>212.565294059122</v>
      </c>
      <c r="Q65" s="32" t="n">
        <f aca="false">Q63-Q64</f>
        <v>177.838241646045</v>
      </c>
      <c r="R65" s="32" t="n">
        <f aca="false">R63-R64</f>
        <v>141.38391554666</v>
      </c>
      <c r="S65" s="32" t="n">
        <f aca="false">S63-S64</f>
        <v>103.529881925091</v>
      </c>
    </row>
    <row r="66" customFormat="false" ht="15" hidden="false" customHeight="true" outlineLevel="0" collapsed="false">
      <c r="B66" s="8" t="s">
        <v>319</v>
      </c>
      <c r="C66" s="29" t="s">
        <v>121</v>
      </c>
      <c r="E66" s="32" t="n">
        <f aca="false">-(E65-D65)</f>
        <v>58.8054540455614</v>
      </c>
      <c r="F66" s="32" t="n">
        <f aca="false">-(F65-E65)</f>
        <v>-6.31362835445566</v>
      </c>
      <c r="G66" s="32" t="n">
        <f aca="false">-(G65-F65)</f>
        <v>-2.89898138720412</v>
      </c>
      <c r="H66" s="32" t="n">
        <f aca="false">-(H65-G65)</f>
        <v>4.78776774495088</v>
      </c>
      <c r="I66" s="32" t="n">
        <f aca="false">-(I65-H65)</f>
        <v>8.26806589756336</v>
      </c>
      <c r="J66" s="32" t="n">
        <f aca="false">-(J65-I65)</f>
        <v>11.6873098680322</v>
      </c>
      <c r="K66" s="32" t="n">
        <f aca="false">-(K65-J65)</f>
        <v>14.9991984901055</v>
      </c>
      <c r="L66" s="32" t="n">
        <f aca="false">-(L65-K65)</f>
        <v>-32.9890208138208</v>
      </c>
      <c r="M66" s="32" t="n">
        <f aca="false">-(M65-L65)</f>
        <v>-22.7563061761704</v>
      </c>
      <c r="N66" s="32" t="n">
        <f aca="false">-(N65-M65)</f>
        <v>118.916408640147</v>
      </c>
      <c r="O66" s="32" t="n">
        <f aca="false">-(O65-N65)</f>
        <v>502.251791084721</v>
      </c>
      <c r="P66" s="32" t="n">
        <f aca="false">-(P65-O65)</f>
        <v>32.6766469014473</v>
      </c>
      <c r="Q66" s="32" t="n">
        <f aca="false">-(Q65-P65)</f>
        <v>34.7270524130773</v>
      </c>
      <c r="R66" s="32" t="n">
        <f aca="false">-(R65-Q65)</f>
        <v>36.4543260993854</v>
      </c>
      <c r="S66" s="32" t="n">
        <f aca="false">-(S65-R65)</f>
        <v>37.8540336215685</v>
      </c>
    </row>
    <row r="68" customFormat="false" ht="15" hidden="false" customHeight="true" outlineLevel="0" collapsed="false">
      <c r="B68" s="8" t="s">
        <v>232</v>
      </c>
      <c r="C68" s="29" t="s">
        <v>121</v>
      </c>
      <c r="E68" s="77" t="n">
        <f aca="false">E46-E61+E66</f>
        <v>7824.30809470389</v>
      </c>
      <c r="F68" s="77" t="n">
        <f aca="false">F46-F61+F66</f>
        <v>7770.49332744704</v>
      </c>
      <c r="G68" s="77" t="n">
        <f aca="false">G46-G61+G66</f>
        <v>7781.48041125214</v>
      </c>
      <c r="H68" s="77" t="n">
        <f aca="false">H46-H61+H66</f>
        <v>7739.52634059515</v>
      </c>
      <c r="I68" s="77" t="n">
        <f aca="false">I46-I61+I66</f>
        <v>7657.07009025431</v>
      </c>
      <c r="J68" s="77" t="n">
        <f aca="false">J46-J61+J66</f>
        <v>7530.04730423159</v>
      </c>
      <c r="K68" s="77" t="n">
        <f aca="false">K46-K61+K66</f>
        <v>7364.19000849509</v>
      </c>
      <c r="L68" s="77" t="n">
        <f aca="false">L46-L61+L66</f>
        <v>7498.64634818895</v>
      </c>
      <c r="M68" s="77" t="n">
        <f aca="false">M46-M61+M66</f>
        <v>7605.86030889537</v>
      </c>
      <c r="N68" s="77" t="n">
        <f aca="false">N46-N61+N66</f>
        <v>6787.87472323499</v>
      </c>
      <c r="O68" s="77" t="n">
        <f aca="false">O46-O61+O66</f>
        <v>2726.6032381547</v>
      </c>
      <c r="P68" s="77" t="n">
        <f aca="false">P46-P61+P66</f>
        <v>1929.10869898459</v>
      </c>
      <c r="Q68" s="77" t="n">
        <f aca="false">Q46-Q61+Q66</f>
        <v>1582.846711575</v>
      </c>
      <c r="R68" s="77" t="n">
        <f aca="false">R46-R61+R66</f>
        <v>1219.06394624245</v>
      </c>
      <c r="S68" s="77" t="n">
        <f aca="false">S46-S61+S66</f>
        <v>840.995150058475</v>
      </c>
    </row>
    <row r="69" customFormat="false" ht="15" hidden="false" customHeight="true" outlineLevel="0" collapsed="false">
      <c r="B69" s="8" t="s">
        <v>320</v>
      </c>
      <c r="C69" s="29" t="s">
        <v>121</v>
      </c>
      <c r="E69" s="82" t="n">
        <f aca="false">Calcs!E104</f>
        <v>6360.58282981257</v>
      </c>
      <c r="F69" s="82" t="n">
        <f aca="false">Calcs!F104</f>
        <v>6376.69588839362</v>
      </c>
      <c r="G69" s="82" t="n">
        <f aca="false">Calcs!G104</f>
        <v>6388.87023842762</v>
      </c>
      <c r="H69" s="82" t="n">
        <f aca="false">Calcs!H104</f>
        <v>6357.39335527442</v>
      </c>
      <c r="I69" s="82" t="n">
        <f aca="false">Calcs!I104</f>
        <v>6293.27260624638</v>
      </c>
      <c r="J69" s="82" t="n">
        <f aca="false">Calcs!J104</f>
        <v>6193.66925070148</v>
      </c>
      <c r="K69" s="82" t="n">
        <f aca="false">Calcs!K104</f>
        <v>6063.03047460153</v>
      </c>
      <c r="L69" s="82" t="n">
        <f aca="false">Calcs!L104</f>
        <v>6178.42144276528</v>
      </c>
      <c r="M69" s="82" t="n">
        <f aca="false">Calcs!M104</f>
        <v>6272.03813704387</v>
      </c>
      <c r="N69" s="82" t="n">
        <f aca="false">Calcs!N104</f>
        <v>5608.84205652367</v>
      </c>
      <c r="O69" s="82" t="n">
        <f aca="false">Calcs!O104</f>
        <v>2149.02649723064</v>
      </c>
      <c r="P69" s="82" t="n">
        <f aca="false">Calcs!P104</f>
        <v>1483.92976867242</v>
      </c>
      <c r="Q69" s="82" t="n">
        <f aca="false">Calcs!Q104</f>
        <v>0</v>
      </c>
      <c r="R69" s="82" t="n">
        <f aca="false">Calcs!R104</f>
        <v>0</v>
      </c>
      <c r="S69" s="82" t="n">
        <f aca="false">Calcs!S104</f>
        <v>0</v>
      </c>
    </row>
    <row r="70" customFormat="false" ht="15" hidden="false" customHeight="true" outlineLevel="0" collapsed="false">
      <c r="B70" s="8" t="s">
        <v>321</v>
      </c>
      <c r="C70" s="29" t="s">
        <v>111</v>
      </c>
      <c r="E70" s="80" t="n">
        <f aca="false">IF(E69=0,"n/a",E68/E69)</f>
        <v>1.230124393323</v>
      </c>
      <c r="F70" s="80" t="n">
        <f aca="false">IF(F69=0,"n/a",F68/F69)</f>
        <v>1.218576746241</v>
      </c>
      <c r="G70" s="80" t="n">
        <f aca="false">IF(G69=0,"n/a",G68/G69)</f>
        <v>1.21797440249268</v>
      </c>
      <c r="H70" s="80" t="n">
        <f aca="false">IF(H69=0,"n/a",H68/H69)</f>
        <v>1.21740561077191</v>
      </c>
      <c r="I70" s="80" t="n">
        <f aca="false">IF(I69=0,"n/a",I68/I69)</f>
        <v>1.21670719978891</v>
      </c>
      <c r="J70" s="80" t="n">
        <f aca="false">IF(J69=0,"n/a",J68/J69)</f>
        <v>1.21576516269072</v>
      </c>
      <c r="K70" s="80" t="n">
        <f aca="false">IF(K69=0,"n/a",K68/K69)</f>
        <v>1.21460547482719</v>
      </c>
      <c r="L70" s="80" t="n">
        <f aca="false">IF(L69=0,"n/a",L68/L69)</f>
        <v>1.21368320656882</v>
      </c>
      <c r="M70" s="80" t="n">
        <f aca="false">IF(M69=0,"n/a",M68/M69)</f>
        <v>1.212661680734</v>
      </c>
      <c r="N70" s="80" t="n">
        <f aca="false">IF(N69=0,"n/a",N68/N69)</f>
        <v>1.21020963949947</v>
      </c>
      <c r="O70" s="80" t="n">
        <f aca="false">IF(O69=0,"n/a",O68/O69)</f>
        <v>1.26876203791268</v>
      </c>
      <c r="P70" s="80" t="n">
        <f aca="false">IF(P69=0,"n/a",P68/P69)</f>
        <v>1.29999999980488</v>
      </c>
      <c r="Q70" s="80" t="str">
        <f aca="false">IF(Q69=0,"n/a",Q68/Q69)</f>
        <v>n/a</v>
      </c>
      <c r="R70" s="80" t="str">
        <f aca="false">IF(R69=0,"n/a",R68/R69)</f>
        <v>n/a</v>
      </c>
      <c r="S70" s="80" t="str">
        <f aca="false">IF(S69=0,"n/a",S68/S69)</f>
        <v>n/a</v>
      </c>
    </row>
    <row r="71" customFormat="false" ht="15" hidden="false" customHeight="true" outlineLevel="0" collapsed="false">
      <c r="B71" s="8" t="s">
        <v>322</v>
      </c>
      <c r="C71" s="29" t="s">
        <v>121</v>
      </c>
      <c r="E71" s="32" t="n">
        <f aca="false">Output!$D$74</f>
        <v>3500</v>
      </c>
      <c r="F71" s="32" t="n">
        <v>0</v>
      </c>
      <c r="G71" s="32" t="n">
        <v>0</v>
      </c>
      <c r="H71" s="32" t="n">
        <v>0</v>
      </c>
      <c r="I71" s="32" t="n">
        <v>0</v>
      </c>
      <c r="J71" s="32" t="n">
        <v>0</v>
      </c>
      <c r="K71" s="32" t="n">
        <v>0</v>
      </c>
      <c r="L71" s="32" t="n">
        <v>0</v>
      </c>
      <c r="M71" s="32" t="n">
        <v>0</v>
      </c>
      <c r="N71" s="32" t="n">
        <v>0</v>
      </c>
      <c r="O71" s="32" t="n">
        <v>0</v>
      </c>
      <c r="P71" s="32" t="n">
        <v>0</v>
      </c>
      <c r="Q71" s="32" t="n">
        <v>0</v>
      </c>
      <c r="R71" s="32" t="n">
        <v>0</v>
      </c>
      <c r="S71" s="32" t="n">
        <v>0</v>
      </c>
    </row>
    <row r="72" customFormat="false" ht="15" hidden="false" customHeight="true" outlineLevel="0" collapsed="false">
      <c r="B72" s="8" t="s">
        <v>323</v>
      </c>
      <c r="C72" s="29" t="s">
        <v>121</v>
      </c>
      <c r="E72" s="77" t="n">
        <f aca="false">E68-E69+E71</f>
        <v>4963.72526489132</v>
      </c>
      <c r="F72" s="77" t="n">
        <f aca="false">F68-F69+F71</f>
        <v>1393.79743905343</v>
      </c>
      <c r="G72" s="77" t="n">
        <f aca="false">G68-G69+G71</f>
        <v>1392.61017282452</v>
      </c>
      <c r="H72" s="77" t="n">
        <f aca="false">H68-H69+H71</f>
        <v>1382.13298532073</v>
      </c>
      <c r="I72" s="77" t="n">
        <f aca="false">I68-I69+I71</f>
        <v>1363.79748400793</v>
      </c>
      <c r="J72" s="77" t="n">
        <f aca="false">J68-J69+J71</f>
        <v>1336.37805353011</v>
      </c>
      <c r="K72" s="77" t="n">
        <f aca="false">K68-K69+K71</f>
        <v>1301.15953389356</v>
      </c>
      <c r="L72" s="77" t="n">
        <f aca="false">L68-L69+L71</f>
        <v>1320.22490542367</v>
      </c>
      <c r="M72" s="77" t="n">
        <f aca="false">M68-M69+M71</f>
        <v>1333.8221718515</v>
      </c>
      <c r="N72" s="77" t="n">
        <f aca="false">N68-N69+N71</f>
        <v>1179.03266671132</v>
      </c>
      <c r="O72" s="77" t="n">
        <f aca="false">O68-O69+O71</f>
        <v>577.576740924061</v>
      </c>
      <c r="P72" s="77" t="n">
        <f aca="false">P68-P69+P71</f>
        <v>445.178930312177</v>
      </c>
      <c r="Q72" s="77" t="n">
        <f aca="false">Q68-Q69+Q71</f>
        <v>1582.846711575</v>
      </c>
      <c r="R72" s="77" t="n">
        <f aca="false">R68-R69+R71</f>
        <v>1219.06394624245</v>
      </c>
      <c r="S72" s="77" t="n">
        <f aca="false">S68-S69+S71</f>
        <v>840.995150058475</v>
      </c>
    </row>
    <row r="73" customFormat="false" ht="15" hidden="false" customHeight="true" outlineLevel="0" collapsed="false">
      <c r="B73" s="8" t="s">
        <v>237</v>
      </c>
      <c r="C73" s="29" t="s">
        <v>121</v>
      </c>
      <c r="D73" s="77" t="n">
        <f aca="false">-Output!$D$56</f>
        <v>-14799.8734926574</v>
      </c>
      <c r="E73" s="77" t="n">
        <f aca="false">E72</f>
        <v>4963.72526489132</v>
      </c>
      <c r="F73" s="77" t="n">
        <f aca="false">F72</f>
        <v>1393.79743905343</v>
      </c>
      <c r="G73" s="77" t="n">
        <f aca="false">G72</f>
        <v>1392.61017282452</v>
      </c>
      <c r="H73" s="77" t="n">
        <f aca="false">H72</f>
        <v>1382.13298532073</v>
      </c>
      <c r="I73" s="77" t="n">
        <f aca="false">I72</f>
        <v>1363.79748400793</v>
      </c>
      <c r="J73" s="77" t="n">
        <f aca="false">J72</f>
        <v>1336.37805353011</v>
      </c>
      <c r="K73" s="77" t="n">
        <f aca="false">K72</f>
        <v>1301.15953389356</v>
      </c>
      <c r="L73" s="77" t="n">
        <f aca="false">L72</f>
        <v>1320.22490542367</v>
      </c>
      <c r="M73" s="77" t="n">
        <f aca="false">M72</f>
        <v>1333.8221718515</v>
      </c>
      <c r="N73" s="77" t="n">
        <f aca="false">N72</f>
        <v>1179.03266671132</v>
      </c>
      <c r="O73" s="77" t="n">
        <f aca="false">O72</f>
        <v>577.576740924061</v>
      </c>
      <c r="P73" s="77" t="n">
        <f aca="false">P72</f>
        <v>445.178930312177</v>
      </c>
      <c r="Q73" s="77" t="n">
        <f aca="false">Q72</f>
        <v>1582.846711575</v>
      </c>
      <c r="R73" s="77" t="n">
        <f aca="false">R72</f>
        <v>1219.06394624245</v>
      </c>
      <c r="S73" s="77" t="n">
        <f aca="false">S72</f>
        <v>840.995150058475</v>
      </c>
    </row>
    <row r="75" customFormat="false" ht="15" hidden="false" customHeight="true" outlineLevel="0" collapsed="false">
      <c r="B75" s="14" t="s">
        <v>324</v>
      </c>
      <c r="C75" s="29" t="s">
        <v>54</v>
      </c>
      <c r="D75" s="92" t="n">
        <f aca="false">IRR(D73:S73)</f>
        <v>0.0688635784108825</v>
      </c>
    </row>
    <row r="76" customFormat="false" ht="15" hidden="false" customHeight="true" outlineLevel="0" collapsed="false">
      <c r="B76" s="8" t="s">
        <v>325</v>
      </c>
      <c r="C76" s="29" t="s">
        <v>111</v>
      </c>
      <c r="D76" s="80" t="n">
        <f aca="false">MIN(E70:P70)</f>
        <v>1.21020963949947</v>
      </c>
    </row>
    <row r="77" customFormat="false" ht="15" hidden="false" customHeight="true" outlineLevel="0" collapsed="false">
      <c r="B77" s="8" t="s">
        <v>326</v>
      </c>
      <c r="C77" s="29" t="s">
        <v>111</v>
      </c>
      <c r="D77" s="80" t="n">
        <f aca="false">SUM(E73:S73)/-D73</f>
        <v>1.46165723425626</v>
      </c>
    </row>
    <row r="80" customFormat="false" ht="15" hidden="false" customHeight="true" outlineLevel="0" collapsed="false">
      <c r="A80" s="55" t="n">
        <f aca="false">MAX($A$2:A79)+0.01</f>
        <v>4.03</v>
      </c>
      <c r="B80" s="56" t="s">
        <v>327</v>
      </c>
      <c r="C80" s="57"/>
      <c r="D80" s="57"/>
      <c r="E80" s="57"/>
      <c r="F80" s="57"/>
      <c r="G80" s="57"/>
      <c r="H80" s="57"/>
      <c r="I80" s="57"/>
      <c r="J80" s="57"/>
      <c r="K80" s="57"/>
      <c r="L80" s="57"/>
      <c r="M80" s="57"/>
      <c r="N80" s="57"/>
      <c r="O80" s="57"/>
      <c r="P80" s="57"/>
      <c r="Q80" s="57"/>
      <c r="R80" s="57"/>
      <c r="S80" s="57"/>
    </row>
    <row r="82" customFormat="false" ht="15" hidden="false" customHeight="true" outlineLevel="0" collapsed="false">
      <c r="B82" s="8" t="s">
        <v>328</v>
      </c>
      <c r="C82" s="29" t="s">
        <v>54</v>
      </c>
      <c r="D82" s="94" t="n">
        <f aca="false">Assumptions!$D$96</f>
        <v>0.11</v>
      </c>
    </row>
    <row r="83" customFormat="false" ht="15" hidden="false" customHeight="true" outlineLevel="0" collapsed="false">
      <c r="B83" s="8" t="s">
        <v>329</v>
      </c>
      <c r="C83" s="29" t="s">
        <v>121</v>
      </c>
      <c r="G83" s="82" t="n">
        <f aca="false">Output!G46</f>
        <v>1916.66107155077</v>
      </c>
      <c r="H83" s="82" t="n">
        <f aca="false">Output!H46</f>
        <v>1907.21800706317</v>
      </c>
      <c r="I83" s="82" t="n">
        <f aca="false">Output!I46</f>
        <v>1887.98178195714</v>
      </c>
      <c r="J83" s="82" t="n">
        <f aca="false">Output!J46</f>
        <v>1858.10077460351</v>
      </c>
      <c r="K83" s="82" t="n">
        <f aca="false">Output!K46</f>
        <v>1818.90914225418</v>
      </c>
      <c r="L83" s="82" t="n">
        <f aca="false">Output!L46</f>
        <v>1853.52643297332</v>
      </c>
      <c r="M83" s="82" t="n">
        <f aca="false">Output!M46</f>
        <v>1881.61144088952</v>
      </c>
      <c r="N83" s="82" t="n">
        <f aca="false">Output!N46</f>
        <v>1682.65261685571</v>
      </c>
      <c r="O83" s="82" t="n">
        <f aca="false">Output!O46</f>
        <v>644.707949637632</v>
      </c>
      <c r="P83" s="82" t="n">
        <f aca="false">Output!P46</f>
        <v>445.178930312177</v>
      </c>
      <c r="Q83" s="82" t="n">
        <f aca="false">Output!Q46</f>
        <v>1582.846711575</v>
      </c>
      <c r="R83" s="82" t="n">
        <f aca="false">Output!R46</f>
        <v>1219.06394624245</v>
      </c>
      <c r="S83" s="82" t="n">
        <f aca="false">Output!S46</f>
        <v>840.995150058475</v>
      </c>
    </row>
    <row r="84" customFormat="false" ht="15" hidden="false" customHeight="true" outlineLevel="0" collapsed="false">
      <c r="B84" s="8" t="s">
        <v>330</v>
      </c>
      <c r="C84" s="29" t="s">
        <v>121</v>
      </c>
      <c r="D84" s="32" t="n">
        <f aca="false">Output!$D$64</f>
        <v>11062.0283953259</v>
      </c>
    </row>
    <row r="85" customFormat="false" ht="15" hidden="false" customHeight="true" outlineLevel="0" collapsed="false">
      <c r="B85" s="8" t="s">
        <v>331</v>
      </c>
      <c r="C85" s="29" t="s">
        <v>121</v>
      </c>
      <c r="D85" s="82" t="n">
        <f aca="false">Output!$D$65</f>
        <v>42335.076227</v>
      </c>
    </row>
    <row r="86" customFormat="false" ht="15" hidden="false" customHeight="true" outlineLevel="0" collapsed="false">
      <c r="B86" s="8" t="s">
        <v>332</v>
      </c>
      <c r="C86" s="29" t="s">
        <v>121</v>
      </c>
      <c r="D86" s="77" t="n">
        <f aca="false">D84+D85</f>
        <v>53397.1046223259</v>
      </c>
    </row>
    <row r="87" customFormat="false" ht="15" hidden="false" customHeight="true" outlineLevel="0" collapsed="false">
      <c r="B87" s="8" t="s">
        <v>333</v>
      </c>
      <c r="C87" s="29" t="s">
        <v>121</v>
      </c>
      <c r="D87" s="32" t="n">
        <f aca="false">Output!$D$67</f>
        <v>-133.492761555815</v>
      </c>
    </row>
    <row r="88" customFormat="false" ht="15" hidden="false" customHeight="true" outlineLevel="0" collapsed="false">
      <c r="B88" s="8" t="s">
        <v>334</v>
      </c>
      <c r="C88" s="29" t="s">
        <v>121</v>
      </c>
      <c r="D88" s="77" t="n">
        <f aca="false">D84+D87</f>
        <v>10928.5356337701</v>
      </c>
    </row>
    <row r="89" customFormat="false" ht="15" hidden="false" customHeight="true" outlineLevel="0" collapsed="false">
      <c r="B89" s="8" t="s">
        <v>335</v>
      </c>
      <c r="C89" s="29" t="s">
        <v>121</v>
      </c>
      <c r="D89" s="77" t="n">
        <f aca="false">-Output!$D$56</f>
        <v>-14799.8734926574</v>
      </c>
      <c r="E89" s="77" t="n">
        <f aca="false">Output!E46</f>
        <v>5408.1748493866</v>
      </c>
      <c r="F89" s="77" t="n">
        <f aca="false">Output!F46+$D$88</f>
        <v>12841.5444000538</v>
      </c>
    </row>
    <row r="90" customFormat="false" ht="15" hidden="false" customHeight="true" outlineLevel="0" collapsed="false">
      <c r="B90" s="14" t="s">
        <v>336</v>
      </c>
      <c r="C90" s="29" t="s">
        <v>54</v>
      </c>
      <c r="D90" s="92" t="n">
        <f aca="false">IRR(D89:F89)</f>
        <v>0.131953208102614</v>
      </c>
    </row>
    <row r="91" customFormat="false" ht="15" hidden="false" customHeight="true" outlineLevel="0" collapsed="false">
      <c r="B91" s="8" t="s">
        <v>326</v>
      </c>
      <c r="C91" s="29" t="s">
        <v>111</v>
      </c>
      <c r="D91" s="80" t="n">
        <f aca="false">SUM(E89:F89)/-D89</f>
        <v>1.23309967875702</v>
      </c>
    </row>
    <row r="92" customFormat="false" ht="15" hidden="false" customHeight="true" outlineLevel="0" collapsed="false">
      <c r="B92" s="8" t="s">
        <v>337</v>
      </c>
      <c r="C92" s="29" t="s">
        <v>297</v>
      </c>
      <c r="D92" s="32" t="n">
        <f aca="false">(D90-Output!$D$57)*10000</f>
        <v>119.532081026138</v>
      </c>
    </row>
    <row r="95" customFormat="false" ht="15" hidden="false" customHeight="true" outlineLevel="0" collapsed="false">
      <c r="A95" s="55" t="n">
        <f aca="false">MAX($A$2:A94)+0.01</f>
        <v>4.04</v>
      </c>
      <c r="B95" s="56" t="s">
        <v>338</v>
      </c>
      <c r="C95" s="57"/>
      <c r="D95" s="57"/>
      <c r="E95" s="57"/>
      <c r="F95" s="57"/>
      <c r="G95" s="57"/>
      <c r="H95" s="57"/>
      <c r="I95" s="57"/>
      <c r="J95" s="57"/>
      <c r="K95" s="57"/>
      <c r="L95" s="57"/>
      <c r="M95" s="57"/>
      <c r="N95" s="57"/>
      <c r="O95" s="57"/>
      <c r="P95" s="57"/>
      <c r="Q95" s="57"/>
      <c r="R95" s="57"/>
      <c r="S95" s="57"/>
    </row>
    <row r="97" customFormat="false" ht="15" hidden="false" customHeight="true" outlineLevel="0" collapsed="false">
      <c r="B97" s="8" t="s">
        <v>339</v>
      </c>
      <c r="C97" s="29" t="s">
        <v>121</v>
      </c>
      <c r="E97" s="82" t="n">
        <f aca="false">Calcs!E121</f>
        <v>43556.10696215</v>
      </c>
      <c r="F97" s="82" t="n">
        <f aca="false">Calcs!F121</f>
        <v>39832.19019975</v>
      </c>
      <c r="G97" s="82" t="n">
        <f aca="false">Calcs!G121</f>
        <v>35984.81479295</v>
      </c>
      <c r="H97" s="82" t="n">
        <f aca="false">Calcs!H121</f>
        <v>32091.1126292</v>
      </c>
      <c r="I97" s="82" t="n">
        <f aca="false">Calcs!I121</f>
        <v>28185.8116247</v>
      </c>
      <c r="J97" s="82" t="n">
        <f aca="false">Calcs!J121</f>
        <v>24261.2929226</v>
      </c>
      <c r="K97" s="82" t="n">
        <f aca="false">Calcs!K121</f>
        <v>20282.90163615</v>
      </c>
      <c r="L97" s="82" t="n">
        <f aca="false">Calcs!L121</f>
        <v>16229.1450113</v>
      </c>
      <c r="M97" s="82" t="n">
        <f aca="false">Calcs!M121</f>
        <v>11875.66288075</v>
      </c>
      <c r="N97" s="82" t="n">
        <f aca="false">Calcs!N121</f>
        <v>7208.84058115001</v>
      </c>
      <c r="O97" s="82" t="n">
        <f aca="false">Calcs!O121</f>
        <v>2854.65855210001</v>
      </c>
      <c r="P97" s="82" t="n">
        <f aca="false">Calcs!P121</f>
        <v>1192.57898160001</v>
      </c>
      <c r="Q97" s="82" t="n">
        <f aca="false">Calcs!Q121</f>
        <v>0</v>
      </c>
      <c r="R97" s="82" t="n">
        <f aca="false">Calcs!R121</f>
        <v>0</v>
      </c>
      <c r="S97" s="82" t="n">
        <f aca="false">Calcs!S121</f>
        <v>0</v>
      </c>
    </row>
    <row r="98" customFormat="false" ht="15" hidden="false" customHeight="true" outlineLevel="0" collapsed="false">
      <c r="B98" s="8" t="s">
        <v>340</v>
      </c>
      <c r="C98" s="29" t="s">
        <v>54</v>
      </c>
      <c r="E98" s="53" t="n">
        <f aca="false">IF(E97=0,0,Assumptions!E17)</f>
        <v>0.00863014305669774</v>
      </c>
      <c r="F98" s="53" t="n">
        <f aca="false">IF(F97=0,0,Assumptions!F17)</f>
        <v>0.00948605613819464</v>
      </c>
      <c r="G98" s="53" t="n">
        <f aca="false">IF(G97=0,0,Assumptions!G17)</f>
        <v>0.0127079463311444</v>
      </c>
      <c r="H98" s="53" t="n">
        <f aca="false">IF(H97=0,0,Assumptions!H17)</f>
        <v>0.0166946523418379</v>
      </c>
      <c r="I98" s="53" t="n">
        <f aca="false">IF(I97=0,0,Assumptions!I17)</f>
        <v>0.0205489439928301</v>
      </c>
      <c r="J98" s="53" t="n">
        <f aca="false">IF(J97=0,0,Assumptions!J17)</f>
        <v>0.023015623724163</v>
      </c>
      <c r="K98" s="53" t="n">
        <f aca="false">IF(K97=0,0,Assumptions!K17)</f>
        <v>0.0242239615559297</v>
      </c>
      <c r="L98" s="53" t="n">
        <f aca="false">IF(L97=0,0,Assumptions!L17)</f>
        <v>0.0253434019583352</v>
      </c>
      <c r="M98" s="53" t="n">
        <f aca="false">IF(M97=0,0,Assumptions!M17)</f>
        <v>0.0259472025737839</v>
      </c>
      <c r="N98" s="53" t="n">
        <f aca="false">IF(N97=0,0,Assumptions!N17)</f>
        <v>0.027337059176467</v>
      </c>
      <c r="O98" s="53" t="n">
        <f aca="false">IF(O97=0,0,Assumptions!O17)</f>
        <v>0.0276576669826099</v>
      </c>
      <c r="P98" s="53" t="n">
        <f aca="false">IF(P97=0,0,Assumptions!P17)</f>
        <v>0.0276576669826099</v>
      </c>
      <c r="Q98" s="53" t="n">
        <f aca="false">IF(Q97=0,0,Assumptions!Q17)</f>
        <v>0</v>
      </c>
      <c r="R98" s="53" t="n">
        <f aca="false">IF(R97=0,0,Assumptions!R17)</f>
        <v>0</v>
      </c>
      <c r="S98" s="53" t="n">
        <f aca="false">IF(S97=0,0,Assumptions!S17)</f>
        <v>0</v>
      </c>
    </row>
    <row r="99" customFormat="false" ht="15" hidden="false" customHeight="true" outlineLevel="0" collapsed="false">
      <c r="B99" s="8" t="s">
        <v>341</v>
      </c>
      <c r="C99" s="29" t="s">
        <v>111</v>
      </c>
      <c r="E99" s="102" t="n">
        <f aca="false">Calcs!E122</f>
        <v>0.991443699044584</v>
      </c>
      <c r="F99" s="102" t="n">
        <f aca="false">Calcs!F122</f>
        <v>0.982127185428759</v>
      </c>
      <c r="G99" s="102" t="n">
        <f aca="false">Calcs!G122</f>
        <v>0.969802981191988</v>
      </c>
      <c r="H99" s="102" t="n">
        <f aca="false">Calcs!H122</f>
        <v>0.953878314357373</v>
      </c>
      <c r="I99" s="102" t="n">
        <f aca="false">Calcs!I122</f>
        <v>0.934671795970301</v>
      </c>
      <c r="J99" s="102" t="n">
        <f aca="false">Calcs!J122</f>
        <v>0.913643715985239</v>
      </c>
      <c r="K99" s="102" t="n">
        <f aca="false">Calcs!K122</f>
        <v>0.892035092205122</v>
      </c>
      <c r="L99" s="102" t="n">
        <f aca="false">Calcs!L122</f>
        <v>0.869986670320789</v>
      </c>
      <c r="M99" s="102" t="n">
        <f aca="false">Calcs!M122</f>
        <v>0.847983861292532</v>
      </c>
      <c r="N99" s="102" t="n">
        <f aca="false">Calcs!N122</f>
        <v>0.825419324376648</v>
      </c>
      <c r="O99" s="102" t="n">
        <f aca="false">Calcs!O122</f>
        <v>0.80320456013356</v>
      </c>
      <c r="P99" s="102" t="n">
        <f aca="false">Calcs!P122</f>
        <v>0.781587668675616</v>
      </c>
      <c r="Q99" s="102" t="n">
        <f aca="false">Calcs!Q122</f>
        <v>0</v>
      </c>
      <c r="R99" s="102" t="n">
        <f aca="false">Calcs!R122</f>
        <v>0</v>
      </c>
      <c r="S99" s="102" t="n">
        <f aca="false">Calcs!S122</f>
        <v>0</v>
      </c>
    </row>
    <row r="100" customFormat="false" ht="15" hidden="false" customHeight="true" outlineLevel="0" collapsed="false">
      <c r="B100" s="8" t="s">
        <v>342</v>
      </c>
      <c r="C100" s="29" t="s">
        <v>121</v>
      </c>
      <c r="E100" s="68" t="n">
        <f aca="false">Calcs!E123</f>
        <v>372.67915961446</v>
      </c>
      <c r="F100" s="68" t="n">
        <f aca="false">Calcs!F123</f>
        <v>371.097142344074</v>
      </c>
      <c r="G100" s="68" t="n">
        <f aca="false">Calcs!G123</f>
        <v>443.484206930717</v>
      </c>
      <c r="H100" s="68" t="n">
        <f aca="false">Calcs!H123</f>
        <v>511.040276972107</v>
      </c>
      <c r="I100" s="68" t="n">
        <f aca="false">Calcs!I123</f>
        <v>541.351309224339</v>
      </c>
      <c r="J100" s="68" t="n">
        <f aca="false">Calcs!J123</f>
        <v>510.168408117459</v>
      </c>
      <c r="K100" s="68" t="n">
        <f aca="false">Calcs!K123</f>
        <v>438.285590624687</v>
      </c>
      <c r="L100" s="68" t="n">
        <f aca="false">Calcs!L123</f>
        <v>357.827036031167</v>
      </c>
      <c r="M100" s="68" t="n">
        <f aca="false">Calcs!M123</f>
        <v>261.2979424491</v>
      </c>
      <c r="N100" s="68" t="n">
        <f aca="false">Calcs!N123</f>
        <v>162.664149414081</v>
      </c>
      <c r="O100" s="68" t="n">
        <f aca="false">Calcs!O123</f>
        <v>63.4155667294158</v>
      </c>
      <c r="P100" s="68" t="n">
        <f aca="false">Calcs!P123</f>
        <v>25.7798504002736</v>
      </c>
      <c r="Q100" s="68" t="n">
        <f aca="false">Calcs!Q123</f>
        <v>0</v>
      </c>
      <c r="R100" s="68" t="n">
        <f aca="false">Calcs!R123</f>
        <v>0</v>
      </c>
      <c r="S100" s="68" t="n">
        <f aca="false">Calcs!S123</f>
        <v>0</v>
      </c>
    </row>
    <row r="101" customFormat="false" ht="15" hidden="false" customHeight="true" outlineLevel="0" collapsed="false">
      <c r="B101" s="8" t="s">
        <v>343</v>
      </c>
      <c r="C101" s="29" t="s">
        <v>121</v>
      </c>
      <c r="E101" s="68" t="n">
        <f aca="false">Calcs!E124</f>
        <v>43183.4278025355</v>
      </c>
      <c r="F101" s="68" t="n">
        <f aca="false">Calcs!F124</f>
        <v>39120.2768503435</v>
      </c>
      <c r="G101" s="68" t="n">
        <f aca="false">Calcs!G124</f>
        <v>34898.1806638445</v>
      </c>
      <c r="H101" s="68" t="n">
        <f aca="false">Calcs!H124</f>
        <v>30611.0164205939</v>
      </c>
      <c r="I101" s="68" t="n">
        <f aca="false">Calcs!I124</f>
        <v>26344.483172139</v>
      </c>
      <c r="J101" s="68" t="n">
        <f aca="false">Calcs!J124</f>
        <v>22166.1778204107</v>
      </c>
      <c r="K101" s="68" t="n">
        <f aca="false">Calcs!K124</f>
        <v>18093.0600311905</v>
      </c>
      <c r="L101" s="68" t="n">
        <f aca="false">Calcs!L124</f>
        <v>14119.1398305341</v>
      </c>
      <c r="M101" s="68" t="n">
        <f aca="false">Calcs!M124</f>
        <v>10070.3704650268</v>
      </c>
      <c r="N101" s="68" t="n">
        <f aca="false">Calcs!N124</f>
        <v>5950.31632203181</v>
      </c>
      <c r="O101" s="68" t="n">
        <f aca="false">Calcs!O124</f>
        <v>2292.874766671</v>
      </c>
      <c r="P101" s="68" t="n">
        <f aca="false">Calcs!P124</f>
        <v>932.105025940295</v>
      </c>
      <c r="Q101" s="68" t="n">
        <f aca="false">Calcs!Q124</f>
        <v>0</v>
      </c>
      <c r="R101" s="68" t="n">
        <f aca="false">Calcs!R124</f>
        <v>0</v>
      </c>
      <c r="S101" s="68" t="n">
        <f aca="false">Calcs!S124</f>
        <v>0</v>
      </c>
    </row>
    <row r="103" customFormat="false" ht="15" hidden="false" customHeight="true" outlineLevel="0" collapsed="false">
      <c r="B103" s="14" t="s">
        <v>344</v>
      </c>
      <c r="C103" s="29" t="s">
        <v>54</v>
      </c>
      <c r="D103" s="92" t="n">
        <f aca="false">SUM(E100:S100)/SUM(E101:S101)</f>
        <v>0.0163817387462332</v>
      </c>
    </row>
    <row r="104" customFormat="false" ht="15" hidden="false" customHeight="true" outlineLevel="0" collapsed="false">
      <c r="B104" s="8" t="s">
        <v>345</v>
      </c>
      <c r="C104" s="29" t="s">
        <v>54</v>
      </c>
      <c r="D104" s="103" t="n">
        <f aca="false">D103+Assumptions!$D$75</f>
        <v>0.0463817387462332</v>
      </c>
    </row>
    <row r="105" customFormat="false" ht="15" hidden="false" customHeight="true" outlineLevel="0" collapsed="false">
      <c r="B105" s="8" t="s">
        <v>346</v>
      </c>
      <c r="C105" s="29" t="s">
        <v>54</v>
      </c>
      <c r="D105" s="53" t="n">
        <f aca="false">AVERAGE(Assumptions!E17:P17)</f>
        <v>0.0207708604012169</v>
      </c>
    </row>
    <row r="108" customFormat="false" ht="15" hidden="false" customHeight="true" outlineLevel="0" collapsed="false">
      <c r="A108" s="55" t="n">
        <f aca="false">MAX($A$2:A107)+0.01</f>
        <v>4.05</v>
      </c>
      <c r="B108" s="56" t="s">
        <v>347</v>
      </c>
      <c r="C108" s="57"/>
      <c r="D108" s="57"/>
      <c r="E108" s="57"/>
      <c r="F108" s="57"/>
      <c r="G108" s="57"/>
      <c r="H108" s="57"/>
      <c r="I108" s="57"/>
      <c r="J108" s="57"/>
      <c r="K108" s="57"/>
      <c r="L108" s="57"/>
      <c r="M108" s="57"/>
      <c r="N108" s="57"/>
      <c r="O108" s="57"/>
      <c r="P108" s="57"/>
      <c r="Q108" s="57"/>
      <c r="R108" s="57"/>
      <c r="S108" s="57"/>
    </row>
    <row r="110" customFormat="false" ht="15" hidden="false" customHeight="true" outlineLevel="0" collapsed="false">
      <c r="B110" s="8" t="s">
        <v>168</v>
      </c>
      <c r="C110" s="29" t="s">
        <v>121</v>
      </c>
      <c r="E110" s="82" t="n">
        <f aca="false">Calcs!E64</f>
        <v>8850.87842039801</v>
      </c>
      <c r="F110" s="82" t="n">
        <f aca="false">Calcs!F64</f>
        <v>8917.21351915392</v>
      </c>
      <c r="G110" s="82" t="n">
        <f aca="false">Calcs!G64</f>
        <v>8947.59736593092</v>
      </c>
      <c r="H110" s="82" t="n">
        <f aca="false">Calcs!H64</f>
        <v>8897.08062591627</v>
      </c>
      <c r="I110" s="82" t="n">
        <f aca="false">Calcs!I64</f>
        <v>8809.92255280811</v>
      </c>
      <c r="J110" s="82" t="n">
        <f aca="false">Calcs!J64</f>
        <v>8686.76583591644</v>
      </c>
      <c r="K110" s="82" t="n">
        <f aca="false">Calcs!K64</f>
        <v>8528.74059796407</v>
      </c>
      <c r="L110" s="82" t="n">
        <f aca="false">Calcs!L64</f>
        <v>8875.90775543854</v>
      </c>
      <c r="M110" s="82" t="n">
        <f aca="false">Calcs!M64</f>
        <v>9115.34739707605</v>
      </c>
      <c r="N110" s="82" t="n">
        <f aca="false">Calcs!N64</f>
        <v>7863.32718862893</v>
      </c>
      <c r="O110" s="82" t="n">
        <f aca="false">Calcs!O64</f>
        <v>2224.35144706998</v>
      </c>
      <c r="P110" s="82" t="n">
        <f aca="false">Calcs!P64</f>
        <v>1896.43205208315</v>
      </c>
      <c r="Q110" s="82" t="n">
        <f aca="false">Calcs!Q64</f>
        <v>1548.11965916192</v>
      </c>
      <c r="R110" s="82" t="n">
        <f aca="false">Calcs!R64</f>
        <v>1182.60962014306</v>
      </c>
      <c r="S110" s="82" t="n">
        <f aca="false">Calcs!S64</f>
        <v>803.141116436907</v>
      </c>
    </row>
    <row r="111" customFormat="false" ht="15" hidden="false" customHeight="true" outlineLevel="0" collapsed="false">
      <c r="B111" s="8" t="s">
        <v>348</v>
      </c>
      <c r="C111" s="29" t="s">
        <v>121</v>
      </c>
      <c r="E111" s="82" t="n">
        <f aca="false">Calcs!E133</f>
        <v>2655.2635261194</v>
      </c>
      <c r="F111" s="82" t="n">
        <f aca="false">Calcs!F133</f>
        <v>2675.16405574617</v>
      </c>
      <c r="G111" s="82" t="n">
        <f aca="false">Calcs!G133</f>
        <v>2684.27920977928</v>
      </c>
      <c r="H111" s="82" t="n">
        <f aca="false">Calcs!H133</f>
        <v>2669.12418777488</v>
      </c>
      <c r="I111" s="82" t="n">
        <f aca="false">Calcs!I133</f>
        <v>2642.97676584243</v>
      </c>
      <c r="J111" s="82" t="n">
        <f aca="false">Calcs!J133</f>
        <v>2606.02975077493</v>
      </c>
      <c r="K111" s="82" t="n">
        <f aca="false">Calcs!K133</f>
        <v>2558.62217938922</v>
      </c>
      <c r="L111" s="82" t="n">
        <f aca="false">Calcs!L133</f>
        <v>2662.77232663156</v>
      </c>
      <c r="M111" s="82" t="n">
        <f aca="false">Calcs!M133</f>
        <v>2734.60421912281</v>
      </c>
      <c r="N111" s="82" t="n">
        <f aca="false">Calcs!N133</f>
        <v>2358.99815658868</v>
      </c>
      <c r="O111" s="82" t="n">
        <f aca="false">Calcs!O133</f>
        <v>667.305434120993</v>
      </c>
      <c r="P111" s="82" t="n">
        <f aca="false">Calcs!P133</f>
        <v>568.929615624944</v>
      </c>
      <c r="Q111" s="82" t="n">
        <f aca="false">Calcs!Q133</f>
        <v>464.435897748576</v>
      </c>
      <c r="R111" s="82" t="n">
        <f aca="false">Calcs!R133</f>
        <v>354.782886042918</v>
      </c>
      <c r="S111" s="82" t="n">
        <f aca="false">Calcs!S133</f>
        <v>240.942334931072</v>
      </c>
    </row>
    <row r="112" customFormat="false" ht="15" hidden="false" customHeight="true" outlineLevel="0" collapsed="false">
      <c r="B112" s="8" t="s">
        <v>208</v>
      </c>
      <c r="C112" s="29" t="s">
        <v>121</v>
      </c>
      <c r="E112" s="82" t="n">
        <f aca="false">Calcs!E131</f>
        <v>2064.9084171109</v>
      </c>
      <c r="F112" s="82" t="n">
        <f aca="false">Calcs!F131</f>
        <v>1935.77601169195</v>
      </c>
      <c r="G112" s="82" t="n">
        <f aca="false">Calcs!G131</f>
        <v>1893.44829472596</v>
      </c>
      <c r="H112" s="82" t="n">
        <f aca="false">Calcs!H131</f>
        <v>1848.32571657275</v>
      </c>
      <c r="I112" s="82" t="n">
        <f aca="false">Calcs!I131</f>
        <v>1761.59591154471</v>
      </c>
      <c r="J112" s="82" t="n">
        <f aca="false">Calcs!J131</f>
        <v>1598.61304499982</v>
      </c>
      <c r="K112" s="82" t="n">
        <f aca="false">Calcs!K131</f>
        <v>1379.30916489987</v>
      </c>
      <c r="L112" s="82" t="n">
        <f aca="false">Calcs!L131</f>
        <v>1142.08189106361</v>
      </c>
      <c r="M112" s="82" t="n">
        <f aca="false">Calcs!M131</f>
        <v>867.063092342201</v>
      </c>
      <c r="N112" s="82" t="n">
        <f aca="false">Calcs!N131</f>
        <v>571.679094821998</v>
      </c>
      <c r="O112" s="82" t="n">
        <f aca="false">Calcs!O131</f>
        <v>279.042898528971</v>
      </c>
      <c r="P112" s="82" t="n">
        <f aca="false">Calcs!P131</f>
        <v>166.299803970749</v>
      </c>
      <c r="Q112" s="82" t="n">
        <f aca="false">Calcs!Q131</f>
        <v>0</v>
      </c>
      <c r="R112" s="82" t="n">
        <f aca="false">Calcs!R131</f>
        <v>0</v>
      </c>
      <c r="S112" s="82" t="n">
        <f aca="false">Calcs!S131</f>
        <v>0</v>
      </c>
    </row>
    <row r="113" customFormat="false" ht="15" hidden="false" customHeight="true" outlineLevel="0" collapsed="false">
      <c r="B113" s="8" t="s">
        <v>349</v>
      </c>
      <c r="C113" s="29" t="s">
        <v>121</v>
      </c>
      <c r="E113" s="77" t="n">
        <f aca="false">E111-E112</f>
        <v>590.355109008502</v>
      </c>
      <c r="F113" s="77" t="n">
        <f aca="false">F111-F112</f>
        <v>739.388044054223</v>
      </c>
      <c r="G113" s="77" t="n">
        <f aca="false">G111-G112</f>
        <v>790.830915053318</v>
      </c>
      <c r="H113" s="77" t="n">
        <f aca="false">H111-H112</f>
        <v>820.798471202127</v>
      </c>
      <c r="I113" s="77" t="n">
        <f aca="false">I111-I112</f>
        <v>881.380854297723</v>
      </c>
      <c r="J113" s="77" t="n">
        <f aca="false">J111-J112</f>
        <v>1007.41670577511</v>
      </c>
      <c r="K113" s="77" t="n">
        <f aca="false">K111-K112</f>
        <v>1179.31301448936</v>
      </c>
      <c r="L113" s="77" t="n">
        <f aca="false">L111-L112</f>
        <v>1520.69043556795</v>
      </c>
      <c r="M113" s="77" t="n">
        <f aca="false">M111-M112</f>
        <v>1867.54112678061</v>
      </c>
      <c r="N113" s="77" t="n">
        <f aca="false">N111-N112</f>
        <v>1787.31906176668</v>
      </c>
      <c r="O113" s="77" t="n">
        <f aca="false">O111-O112</f>
        <v>388.262535592022</v>
      </c>
      <c r="P113" s="77" t="n">
        <f aca="false">P111-P112</f>
        <v>402.629811654194</v>
      </c>
      <c r="Q113" s="77" t="n">
        <f aca="false">Q111-Q112</f>
        <v>464.435897748576</v>
      </c>
      <c r="R113" s="77" t="n">
        <f aca="false">R111-R112</f>
        <v>354.782886042918</v>
      </c>
      <c r="S113" s="77" t="n">
        <f aca="false">S111-S112</f>
        <v>240.942334931072</v>
      </c>
    </row>
    <row r="114" customFormat="false" ht="15" hidden="false" customHeight="true" outlineLevel="0" collapsed="false">
      <c r="B114" s="8" t="s">
        <v>350</v>
      </c>
      <c r="C114" s="29" t="s">
        <v>155</v>
      </c>
      <c r="E114" s="71" t="str">
        <f aca="false">IF(E113&lt;0,"BINDING","headroom")</f>
        <v>headroom</v>
      </c>
      <c r="F114" s="71" t="str">
        <f aca="false">IF(F113&lt;0,"BINDING","headroom")</f>
        <v>headroom</v>
      </c>
      <c r="G114" s="71" t="str">
        <f aca="false">IF(G113&lt;0,"BINDING","headroom")</f>
        <v>headroom</v>
      </c>
      <c r="H114" s="71" t="str">
        <f aca="false">IF(H113&lt;0,"BINDING","headroom")</f>
        <v>headroom</v>
      </c>
      <c r="I114" s="71" t="str">
        <f aca="false">IF(I113&lt;0,"BINDING","headroom")</f>
        <v>headroom</v>
      </c>
      <c r="J114" s="71" t="str">
        <f aca="false">IF(J113&lt;0,"BINDING","headroom")</f>
        <v>headroom</v>
      </c>
      <c r="K114" s="71" t="str">
        <f aca="false">IF(K113&lt;0,"BINDING","headroom")</f>
        <v>headroom</v>
      </c>
      <c r="L114" s="71" t="str">
        <f aca="false">IF(L113&lt;0,"BINDING","headroom")</f>
        <v>headroom</v>
      </c>
      <c r="M114" s="71" t="str">
        <f aca="false">IF(M113&lt;0,"BINDING","headroom")</f>
        <v>headroom</v>
      </c>
      <c r="N114" s="71" t="str">
        <f aca="false">IF(N113&lt;0,"BINDING","headroom")</f>
        <v>headroom</v>
      </c>
      <c r="O114" s="71" t="str">
        <f aca="false">IF(O113&lt;0,"BINDING","headroom")</f>
        <v>headroom</v>
      </c>
      <c r="P114" s="71" t="str">
        <f aca="false">IF(P113&lt;0,"BINDING","headroom")</f>
        <v>headroom</v>
      </c>
      <c r="Q114" s="71" t="str">
        <f aca="false">IF(Q113&lt;0,"BINDING","headroom")</f>
        <v>headroom</v>
      </c>
      <c r="R114" s="71" t="str">
        <f aca="false">IF(R113&lt;0,"BINDING","headroom")</f>
        <v>headroom</v>
      </c>
      <c r="S114" s="71" t="str">
        <f aca="false">IF(S113&lt;0,"BINDING","headroom")</f>
        <v>headroom</v>
      </c>
    </row>
    <row r="116" customFormat="false" ht="15" hidden="false" customHeight="true" outlineLevel="0" collapsed="false">
      <c r="B116" s="14" t="s">
        <v>351</v>
      </c>
      <c r="C116" s="29" t="s">
        <v>121</v>
      </c>
      <c r="D116" s="77" t="n">
        <f aca="false">MIN(E113:P113)</f>
        <v>388.262535592022</v>
      </c>
    </row>
    <row r="117" customFormat="false" ht="15" hidden="false" customHeight="true" outlineLevel="0" collapsed="false">
      <c r="B117" s="8" t="s">
        <v>352</v>
      </c>
      <c r="C117" s="29" t="s">
        <v>54</v>
      </c>
      <c r="D117" s="78" t="n">
        <f aca="false">D116/MIN(E111:P111)</f>
        <v>0.682443882211218</v>
      </c>
    </row>
    <row r="118" customFormat="false" ht="15" hidden="false" customHeight="true" outlineLevel="0" collapsed="false">
      <c r="B118" s="8" t="s">
        <v>353</v>
      </c>
      <c r="C118" s="29" t="s">
        <v>121</v>
      </c>
      <c r="D118" s="32" t="n">
        <f aca="false">E111/(Assumptions!E80+Assumptions!$D$76/Assumptions!$D$74)</f>
        <v>65892.6486823065</v>
      </c>
    </row>
    <row r="119" customFormat="false" ht="15" hidden="false" customHeight="true" outlineLevel="0" collapsed="false">
      <c r="B119" s="8" t="s">
        <v>354</v>
      </c>
      <c r="C119" s="29" t="s">
        <v>54</v>
      </c>
      <c r="D119" s="104" t="n">
        <f aca="false">D118/Output!$D$76</f>
        <v>0.976187387886022</v>
      </c>
    </row>
    <row r="120" customFormat="false" ht="15" hidden="false" customHeight="true" outlineLevel="0" collapsed="false">
      <c r="B120" s="14" t="s">
        <v>355</v>
      </c>
      <c r="C120" s="29" t="s">
        <v>121</v>
      </c>
      <c r="D120" s="91" t="n">
        <f aca="false">IF($D$116&gt;=0,0,"re-run with cap removed")</f>
        <v>0</v>
      </c>
    </row>
    <row r="122" customFormat="false" ht="15" hidden="false" customHeight="true" outlineLevel="0" collapsed="false">
      <c r="B122" s="29" t="s">
        <v>356</v>
      </c>
    </row>
    <row r="125" customFormat="false" ht="15" hidden="false" customHeight="true" outlineLevel="0" collapsed="false">
      <c r="A125" s="55" t="n">
        <f aca="false">MAX($A$2:A124)+0.01</f>
        <v>4.06</v>
      </c>
      <c r="B125" s="56" t="s">
        <v>357</v>
      </c>
      <c r="C125" s="57"/>
      <c r="D125" s="57"/>
      <c r="E125" s="57"/>
      <c r="F125" s="57"/>
      <c r="G125" s="57"/>
      <c r="H125" s="57"/>
      <c r="I125" s="57"/>
      <c r="J125" s="57"/>
      <c r="K125" s="57"/>
      <c r="L125" s="57"/>
      <c r="M125" s="57"/>
      <c r="N125" s="57"/>
      <c r="O125" s="57"/>
      <c r="P125" s="57"/>
      <c r="Q125" s="57"/>
      <c r="R125" s="57"/>
      <c r="S125" s="57"/>
    </row>
    <row r="127" customFormat="false" ht="15" hidden="false" customHeight="true" outlineLevel="0" collapsed="false">
      <c r="B127" s="8" t="s">
        <v>358</v>
      </c>
      <c r="C127" s="29" t="s">
        <v>54</v>
      </c>
      <c r="D127" s="94" t="n">
        <f aca="false">Assumptions!$D$85</f>
        <v>0.09</v>
      </c>
    </row>
    <row r="128" customFormat="false" ht="15" hidden="false" customHeight="true" outlineLevel="0" collapsed="false">
      <c r="B128" s="8" t="s">
        <v>359</v>
      </c>
      <c r="C128" s="29" t="s">
        <v>86</v>
      </c>
      <c r="D128" s="82" t="n">
        <f aca="false">Assumptions!$D$84</f>
        <v>5</v>
      </c>
    </row>
    <row r="129" customFormat="false" ht="15" hidden="false" customHeight="true" outlineLevel="0" collapsed="false">
      <c r="B129" s="8" t="s">
        <v>360</v>
      </c>
      <c r="C129" s="29" t="s">
        <v>111</v>
      </c>
      <c r="D129" s="105" t="n">
        <f aca="false">Assumptions!$D$86</f>
        <v>1.2</v>
      </c>
    </row>
    <row r="130" customFormat="false" ht="15" hidden="false" customHeight="true" outlineLevel="0" collapsed="false">
      <c r="B130" s="8" t="s">
        <v>361</v>
      </c>
      <c r="C130" s="29" t="s">
        <v>111</v>
      </c>
      <c r="D130" s="102" t="n">
        <f aca="false">Assumptions!$D$87</f>
        <v>3.88965126335172</v>
      </c>
    </row>
    <row r="131" customFormat="false" ht="15" hidden="false" customHeight="true" outlineLevel="0" collapsed="false">
      <c r="B131" s="14" t="s">
        <v>362</v>
      </c>
      <c r="C131" s="29" t="s">
        <v>121</v>
      </c>
      <c r="D131" s="48" t="n">
        <v>6226.770819173</v>
      </c>
    </row>
    <row r="132" customFormat="false" ht="15" hidden="false" customHeight="true" outlineLevel="0" collapsed="false">
      <c r="B132" s="8" t="s">
        <v>363</v>
      </c>
      <c r="C132" s="29" t="s">
        <v>121</v>
      </c>
      <c r="D132" s="32" t="n">
        <f aca="false">D131/D130</f>
        <v>1600.85580880775</v>
      </c>
    </row>
    <row r="134" customFormat="false" ht="15" hidden="false" customHeight="true" outlineLevel="0" collapsed="false">
      <c r="B134" s="8" t="s">
        <v>183</v>
      </c>
      <c r="C134" s="29" t="s">
        <v>121</v>
      </c>
      <c r="E134" s="32" t="n">
        <f aca="false">IF(E$6&lt;=$D$128,$D$131,0)</f>
        <v>6226.770819173</v>
      </c>
      <c r="F134" s="32" t="n">
        <f aca="false">IF(F$6&lt;=$D$128,E137,0)</f>
        <v>5186.32438409082</v>
      </c>
      <c r="G134" s="32" t="n">
        <f aca="false">IF(G$6&lt;=$D$128,F137,0)</f>
        <v>4052.23776985125</v>
      </c>
      <c r="H134" s="32" t="n">
        <f aca="false">IF(H$6&lt;=$D$128,G137,0)</f>
        <v>2816.08336033011</v>
      </c>
      <c r="I134" s="32" t="n">
        <f aca="false">IF(I$6&lt;=$D$128,H137,0)</f>
        <v>1468.67505395207</v>
      </c>
      <c r="J134" s="32" t="n">
        <f aca="false">IF(J$6&lt;=$D$128,I137,0)</f>
        <v>0</v>
      </c>
      <c r="K134" s="32" t="n">
        <f aca="false">IF(K$6&lt;=$D$128,J137,0)</f>
        <v>0</v>
      </c>
      <c r="L134" s="32" t="n">
        <f aca="false">IF(L$6&lt;=$D$128,K137,0)</f>
        <v>0</v>
      </c>
      <c r="M134" s="32" t="n">
        <f aca="false">IF(M$6&lt;=$D$128,L137,0)</f>
        <v>0</v>
      </c>
      <c r="N134" s="32" t="n">
        <f aca="false">IF(N$6&lt;=$D$128,M137,0)</f>
        <v>0</v>
      </c>
      <c r="O134" s="32" t="n">
        <f aca="false">IF(O$6&lt;=$D$128,N137,0)</f>
        <v>0</v>
      </c>
      <c r="P134" s="32" t="n">
        <f aca="false">IF(P$6&lt;=$D$128,O137,0)</f>
        <v>0</v>
      </c>
      <c r="Q134" s="32" t="n">
        <f aca="false">IF(Q$6&lt;=$D$128,P137,0)</f>
        <v>0</v>
      </c>
      <c r="R134" s="32" t="n">
        <f aca="false">IF(R$6&lt;=$D$128,Q137,0)</f>
        <v>0</v>
      </c>
      <c r="S134" s="32" t="n">
        <f aca="false">IF(S$6&lt;=$D$128,R137,0)</f>
        <v>0</v>
      </c>
    </row>
    <row r="135" customFormat="false" ht="15" hidden="false" customHeight="true" outlineLevel="0" collapsed="false">
      <c r="B135" s="8" t="s">
        <v>184</v>
      </c>
      <c r="C135" s="29" t="s">
        <v>121</v>
      </c>
      <c r="E135" s="32" t="n">
        <f aca="false">E134*$D$127</f>
        <v>560.40937372557</v>
      </c>
      <c r="F135" s="32" t="n">
        <f aca="false">F134*$D$127</f>
        <v>466.769194568174</v>
      </c>
      <c r="G135" s="32" t="n">
        <f aca="false">G134*$D$127</f>
        <v>364.701399286612</v>
      </c>
      <c r="H135" s="32" t="n">
        <f aca="false">H134*$D$127</f>
        <v>253.44750242971</v>
      </c>
      <c r="I135" s="32" t="n">
        <f aca="false">I134*$D$127</f>
        <v>132.180754855686</v>
      </c>
      <c r="J135" s="32" t="n">
        <f aca="false">J134*$D$127</f>
        <v>0</v>
      </c>
      <c r="K135" s="32" t="n">
        <f aca="false">K134*$D$127</f>
        <v>0</v>
      </c>
      <c r="L135" s="32" t="n">
        <f aca="false">L134*$D$127</f>
        <v>0</v>
      </c>
      <c r="M135" s="32" t="n">
        <f aca="false">M134*$D$127</f>
        <v>0</v>
      </c>
      <c r="N135" s="32" t="n">
        <f aca="false">N134*$D$127</f>
        <v>0</v>
      </c>
      <c r="O135" s="32" t="n">
        <f aca="false">O134*$D$127</f>
        <v>0</v>
      </c>
      <c r="P135" s="32" t="n">
        <f aca="false">P134*$D$127</f>
        <v>0</v>
      </c>
      <c r="Q135" s="32" t="n">
        <f aca="false">Q134*$D$127</f>
        <v>0</v>
      </c>
      <c r="R135" s="32" t="n">
        <f aca="false">R134*$D$127</f>
        <v>0</v>
      </c>
      <c r="S135" s="32" t="n">
        <f aca="false">S134*$D$127</f>
        <v>0</v>
      </c>
    </row>
    <row r="136" customFormat="false" ht="15" hidden="false" customHeight="true" outlineLevel="0" collapsed="false">
      <c r="B136" s="8" t="s">
        <v>364</v>
      </c>
      <c r="C136" s="29" t="s">
        <v>121</v>
      </c>
      <c r="E136" s="32" t="n">
        <f aca="false">IF(E$6&lt;=$D$128,$D$132-E135,0)</f>
        <v>1040.44643508218</v>
      </c>
      <c r="F136" s="32" t="n">
        <f aca="false">IF(F$6&lt;=$D$128,$D$132-F135,0)</f>
        <v>1134.08661423958</v>
      </c>
      <c r="G136" s="32" t="n">
        <f aca="false">IF(G$6&lt;=$D$128,$D$132-G135,0)</f>
        <v>1236.15440952114</v>
      </c>
      <c r="H136" s="32" t="n">
        <f aca="false">IF(H$6&lt;=$D$128,$D$132-H135,0)</f>
        <v>1347.40830637804</v>
      </c>
      <c r="I136" s="32" t="n">
        <f aca="false">IF(I$6&lt;=$D$128,$D$132-I135,0)</f>
        <v>1468.67505395206</v>
      </c>
      <c r="J136" s="32" t="n">
        <f aca="false">IF(J$6&lt;=$D$128,$D$132-J135,0)</f>
        <v>0</v>
      </c>
      <c r="K136" s="32" t="n">
        <f aca="false">IF(K$6&lt;=$D$128,$D$132-K135,0)</f>
        <v>0</v>
      </c>
      <c r="L136" s="32" t="n">
        <f aca="false">IF(L$6&lt;=$D$128,$D$132-L135,0)</f>
        <v>0</v>
      </c>
      <c r="M136" s="32" t="n">
        <f aca="false">IF(M$6&lt;=$D$128,$D$132-M135,0)</f>
        <v>0</v>
      </c>
      <c r="N136" s="32" t="n">
        <f aca="false">IF(N$6&lt;=$D$128,$D$132-N135,0)</f>
        <v>0</v>
      </c>
      <c r="O136" s="32" t="n">
        <f aca="false">IF(O$6&lt;=$D$128,$D$132-O135,0)</f>
        <v>0</v>
      </c>
      <c r="P136" s="32" t="n">
        <f aca="false">IF(P$6&lt;=$D$128,$D$132-P135,0)</f>
        <v>0</v>
      </c>
      <c r="Q136" s="32" t="n">
        <f aca="false">IF(Q$6&lt;=$D$128,$D$132-Q135,0)</f>
        <v>0</v>
      </c>
      <c r="R136" s="32" t="n">
        <f aca="false">IF(R$6&lt;=$D$128,$D$132-R135,0)</f>
        <v>0</v>
      </c>
      <c r="S136" s="32" t="n">
        <f aca="false">IF(S$6&lt;=$D$128,$D$132-S135,0)</f>
        <v>0</v>
      </c>
    </row>
    <row r="137" customFormat="false" ht="15" hidden="false" customHeight="true" outlineLevel="0" collapsed="false">
      <c r="B137" s="8" t="s">
        <v>188</v>
      </c>
      <c r="C137" s="29" t="s">
        <v>121</v>
      </c>
      <c r="E137" s="32" t="n">
        <f aca="false">E134-E136</f>
        <v>5186.32438409082</v>
      </c>
      <c r="F137" s="32" t="n">
        <f aca="false">F134-F136</f>
        <v>4052.23776985125</v>
      </c>
      <c r="G137" s="32" t="n">
        <f aca="false">G134-G136</f>
        <v>2816.08336033011</v>
      </c>
      <c r="H137" s="32" t="n">
        <f aca="false">H134-H136</f>
        <v>1468.67505395207</v>
      </c>
      <c r="I137" s="32" t="n">
        <f aca="false">I134-I136</f>
        <v>7.27595761418343E-012</v>
      </c>
      <c r="J137" s="32" t="n">
        <f aca="false">J134-J136</f>
        <v>0</v>
      </c>
      <c r="K137" s="32" t="n">
        <f aca="false">K134-K136</f>
        <v>0</v>
      </c>
      <c r="L137" s="32" t="n">
        <f aca="false">L134-L136</f>
        <v>0</v>
      </c>
      <c r="M137" s="32" t="n">
        <f aca="false">M134-M136</f>
        <v>0</v>
      </c>
      <c r="N137" s="32" t="n">
        <f aca="false">N134-N136</f>
        <v>0</v>
      </c>
      <c r="O137" s="32" t="n">
        <f aca="false">O134-O136</f>
        <v>0</v>
      </c>
      <c r="P137" s="32" t="n">
        <f aca="false">P134-P136</f>
        <v>0</v>
      </c>
      <c r="Q137" s="32" t="n">
        <f aca="false">Q134-Q136</f>
        <v>0</v>
      </c>
      <c r="R137" s="32" t="n">
        <f aca="false">R134-R136</f>
        <v>0</v>
      </c>
      <c r="S137" s="32" t="n">
        <f aca="false">S134-S136</f>
        <v>0</v>
      </c>
    </row>
    <row r="138" customFormat="false" ht="15" hidden="false" customHeight="true" outlineLevel="0" collapsed="false">
      <c r="B138" s="8" t="s">
        <v>185</v>
      </c>
      <c r="C138" s="29" t="s">
        <v>121</v>
      </c>
      <c r="E138" s="77" t="n">
        <f aca="false">E135+E136</f>
        <v>1600.85580880775</v>
      </c>
      <c r="F138" s="77" t="n">
        <f aca="false">F135+F136</f>
        <v>1600.85580880775</v>
      </c>
      <c r="G138" s="77" t="n">
        <f aca="false">G135+G136</f>
        <v>1600.85580880775</v>
      </c>
      <c r="H138" s="77" t="n">
        <f aca="false">H135+H136</f>
        <v>1600.85580880775</v>
      </c>
      <c r="I138" s="77" t="n">
        <f aca="false">I135+I136</f>
        <v>1600.85580880775</v>
      </c>
      <c r="J138" s="77" t="n">
        <f aca="false">J135+J136</f>
        <v>0</v>
      </c>
      <c r="K138" s="77" t="n">
        <f aca="false">K135+K136</f>
        <v>0</v>
      </c>
      <c r="L138" s="77" t="n">
        <f aca="false">L135+L136</f>
        <v>0</v>
      </c>
      <c r="M138" s="77" t="n">
        <f aca="false">M135+M136</f>
        <v>0</v>
      </c>
      <c r="N138" s="77" t="n">
        <f aca="false">N135+N136</f>
        <v>0</v>
      </c>
      <c r="O138" s="77" t="n">
        <f aca="false">O135+O136</f>
        <v>0</v>
      </c>
      <c r="P138" s="77" t="n">
        <f aca="false">P135+P136</f>
        <v>0</v>
      </c>
      <c r="Q138" s="77" t="n">
        <f aca="false">Q135+Q136</f>
        <v>0</v>
      </c>
      <c r="R138" s="77" t="n">
        <f aca="false">R135+R136</f>
        <v>0</v>
      </c>
      <c r="S138" s="77" t="n">
        <f aca="false">S135+S136</f>
        <v>0</v>
      </c>
    </row>
    <row r="140" customFormat="false" ht="15" hidden="false" customHeight="true" outlineLevel="0" collapsed="false">
      <c r="B140" s="8" t="s">
        <v>365</v>
      </c>
      <c r="C140" s="29" t="s">
        <v>121</v>
      </c>
      <c r="E140" s="32" t="n">
        <f aca="false">Calcs!E131+E135</f>
        <v>2625.31779083647</v>
      </c>
      <c r="F140" s="32" t="n">
        <f aca="false">Calcs!F131+F135</f>
        <v>2402.54520626013</v>
      </c>
      <c r="G140" s="32" t="n">
        <f aca="false">Calcs!G131+G135</f>
        <v>2258.14969401257</v>
      </c>
      <c r="H140" s="32" t="n">
        <f aca="false">Calcs!H131+H135</f>
        <v>2101.77321900246</v>
      </c>
      <c r="I140" s="32" t="n">
        <f aca="false">Calcs!I131+I135</f>
        <v>1893.7766664004</v>
      </c>
      <c r="J140" s="32" t="n">
        <f aca="false">Calcs!J131+J135</f>
        <v>1598.61304499982</v>
      </c>
      <c r="K140" s="32" t="n">
        <f aca="false">Calcs!K131+K135</f>
        <v>1379.30916489987</v>
      </c>
      <c r="L140" s="32" t="n">
        <f aca="false">Calcs!L131+L135</f>
        <v>1142.08189106361</v>
      </c>
      <c r="M140" s="32" t="n">
        <f aca="false">Calcs!M131+M135</f>
        <v>867.063092342201</v>
      </c>
      <c r="N140" s="32" t="n">
        <f aca="false">Calcs!N131+N135</f>
        <v>571.679094821998</v>
      </c>
      <c r="O140" s="32" t="n">
        <f aca="false">Calcs!O131+O135</f>
        <v>279.042898528971</v>
      </c>
      <c r="P140" s="32" t="n">
        <f aca="false">Calcs!P131+P135</f>
        <v>166.299803970749</v>
      </c>
      <c r="Q140" s="32" t="n">
        <f aca="false">Calcs!Q131+Q135</f>
        <v>0</v>
      </c>
      <c r="R140" s="32" t="n">
        <f aca="false">Calcs!R131+R135</f>
        <v>0</v>
      </c>
      <c r="S140" s="32" t="n">
        <f aca="false">Calcs!S131+S135</f>
        <v>0</v>
      </c>
    </row>
    <row r="141" customFormat="false" ht="15" hidden="false" customHeight="true" outlineLevel="0" collapsed="false">
      <c r="B141" s="8" t="s">
        <v>308</v>
      </c>
      <c r="C141" s="29" t="s">
        <v>121</v>
      </c>
      <c r="E141" s="82" t="n">
        <f aca="false">Calcs!E133</f>
        <v>2655.2635261194</v>
      </c>
      <c r="F141" s="82" t="n">
        <f aca="false">Calcs!F133</f>
        <v>2675.16405574617</v>
      </c>
      <c r="G141" s="82" t="n">
        <f aca="false">Calcs!G133</f>
        <v>2684.27920977928</v>
      </c>
      <c r="H141" s="82" t="n">
        <f aca="false">Calcs!H133</f>
        <v>2669.12418777488</v>
      </c>
      <c r="I141" s="82" t="n">
        <f aca="false">Calcs!I133</f>
        <v>2642.97676584243</v>
      </c>
      <c r="J141" s="82" t="n">
        <f aca="false">Calcs!J133</f>
        <v>2606.02975077493</v>
      </c>
      <c r="K141" s="82" t="n">
        <f aca="false">Calcs!K133</f>
        <v>2558.62217938922</v>
      </c>
      <c r="L141" s="82" t="n">
        <f aca="false">Calcs!L133</f>
        <v>2662.77232663156</v>
      </c>
      <c r="M141" s="82" t="n">
        <f aca="false">Calcs!M133</f>
        <v>2734.60421912281</v>
      </c>
      <c r="N141" s="82" t="n">
        <f aca="false">Calcs!N133</f>
        <v>2358.99815658868</v>
      </c>
      <c r="O141" s="82" t="n">
        <f aca="false">Calcs!O133</f>
        <v>667.305434120993</v>
      </c>
      <c r="P141" s="82" t="n">
        <f aca="false">Calcs!P133</f>
        <v>568.929615624944</v>
      </c>
      <c r="Q141" s="82" t="n">
        <f aca="false">Calcs!Q133</f>
        <v>464.435897748576</v>
      </c>
      <c r="R141" s="82" t="n">
        <f aca="false">Calcs!R133</f>
        <v>354.782886042918</v>
      </c>
      <c r="S141" s="82" t="n">
        <f aca="false">Calcs!S133</f>
        <v>240.942334931072</v>
      </c>
    </row>
    <row r="142" customFormat="false" ht="15" hidden="false" customHeight="true" outlineLevel="0" collapsed="false">
      <c r="B142" s="8" t="s">
        <v>309</v>
      </c>
      <c r="C142" s="29" t="s">
        <v>121</v>
      </c>
      <c r="E142" s="32" t="n">
        <f aca="false">D145</f>
        <v>0</v>
      </c>
      <c r="F142" s="32" t="n">
        <f aca="false">E145</f>
        <v>0</v>
      </c>
      <c r="G142" s="32" t="n">
        <f aca="false">F145</f>
        <v>0</v>
      </c>
      <c r="H142" s="32" t="n">
        <f aca="false">G145</f>
        <v>0</v>
      </c>
      <c r="I142" s="32" t="n">
        <f aca="false">H145</f>
        <v>0</v>
      </c>
      <c r="J142" s="32" t="n">
        <f aca="false">I145</f>
        <v>0</v>
      </c>
      <c r="K142" s="32" t="n">
        <f aca="false">J145</f>
        <v>0</v>
      </c>
      <c r="L142" s="32" t="n">
        <f aca="false">K145</f>
        <v>0</v>
      </c>
      <c r="M142" s="32" t="n">
        <f aca="false">L145</f>
        <v>0</v>
      </c>
      <c r="N142" s="32" t="n">
        <f aca="false">M145</f>
        <v>0</v>
      </c>
      <c r="O142" s="32" t="n">
        <f aca="false">N145</f>
        <v>0</v>
      </c>
      <c r="P142" s="32" t="n">
        <f aca="false">O145</f>
        <v>0</v>
      </c>
      <c r="Q142" s="32" t="n">
        <f aca="false">P145</f>
        <v>0</v>
      </c>
      <c r="R142" s="32" t="n">
        <f aca="false">Q145</f>
        <v>0</v>
      </c>
      <c r="S142" s="32" t="n">
        <f aca="false">R145</f>
        <v>0</v>
      </c>
    </row>
    <row r="143" customFormat="false" ht="15" hidden="false" customHeight="true" outlineLevel="0" collapsed="false">
      <c r="B143" s="8" t="s">
        <v>211</v>
      </c>
      <c r="C143" s="29" t="s">
        <v>121</v>
      </c>
      <c r="E143" s="32" t="n">
        <f aca="false">MIN(E140,E141)</f>
        <v>2625.31779083647</v>
      </c>
      <c r="F143" s="32" t="n">
        <f aca="false">MIN(F140,F141)</f>
        <v>2402.54520626013</v>
      </c>
      <c r="G143" s="32" t="n">
        <f aca="false">MIN(G140,G141)</f>
        <v>2258.14969401257</v>
      </c>
      <c r="H143" s="32" t="n">
        <f aca="false">MIN(H140,H141)</f>
        <v>2101.77321900246</v>
      </c>
      <c r="I143" s="32" t="n">
        <f aca="false">MIN(I140,I141)</f>
        <v>1893.7766664004</v>
      </c>
      <c r="J143" s="32" t="n">
        <f aca="false">MIN(J140,J141)</f>
        <v>1598.61304499982</v>
      </c>
      <c r="K143" s="32" t="n">
        <f aca="false">MIN(K140,K141)</f>
        <v>1379.30916489987</v>
      </c>
      <c r="L143" s="32" t="n">
        <f aca="false">MIN(L140,L141)</f>
        <v>1142.08189106361</v>
      </c>
      <c r="M143" s="32" t="n">
        <f aca="false">MIN(M140,M141)</f>
        <v>867.063092342201</v>
      </c>
      <c r="N143" s="32" t="n">
        <f aca="false">MIN(N140,N141)</f>
        <v>571.679094821998</v>
      </c>
      <c r="O143" s="32" t="n">
        <f aca="false">MIN(O140,O141)</f>
        <v>279.042898528971</v>
      </c>
      <c r="P143" s="32" t="n">
        <f aca="false">MIN(P140,P141)</f>
        <v>166.299803970749</v>
      </c>
      <c r="Q143" s="32" t="n">
        <f aca="false">MIN(Q140,Q141)</f>
        <v>0</v>
      </c>
      <c r="R143" s="32" t="n">
        <f aca="false">MIN(R140,R141)</f>
        <v>0</v>
      </c>
      <c r="S143" s="32" t="n">
        <f aca="false">MIN(S140,S141)</f>
        <v>0</v>
      </c>
    </row>
    <row r="144" customFormat="false" ht="15" hidden="false" customHeight="true" outlineLevel="0" collapsed="false">
      <c r="B144" s="8" t="s">
        <v>310</v>
      </c>
      <c r="C144" s="29" t="s">
        <v>121</v>
      </c>
      <c r="E144" s="32" t="n">
        <f aca="false">MIN(E142,MAX(E141-E140,0))</f>
        <v>0</v>
      </c>
      <c r="F144" s="32" t="n">
        <f aca="false">MIN(F142,MAX(F141-F140,0))</f>
        <v>0</v>
      </c>
      <c r="G144" s="32" t="n">
        <f aca="false">MIN(G142,MAX(G141-G140,0))</f>
        <v>0</v>
      </c>
      <c r="H144" s="32" t="n">
        <f aca="false">MIN(H142,MAX(H141-H140,0))</f>
        <v>0</v>
      </c>
      <c r="I144" s="32" t="n">
        <f aca="false">MIN(I142,MAX(I141-I140,0))</f>
        <v>0</v>
      </c>
      <c r="J144" s="32" t="n">
        <f aca="false">MIN(J142,MAX(J141-J140,0))</f>
        <v>0</v>
      </c>
      <c r="K144" s="32" t="n">
        <f aca="false">MIN(K142,MAX(K141-K140,0))</f>
        <v>0</v>
      </c>
      <c r="L144" s="32" t="n">
        <f aca="false">MIN(L142,MAX(L141-L140,0))</f>
        <v>0</v>
      </c>
      <c r="M144" s="32" t="n">
        <f aca="false">MIN(M142,MAX(M141-M140,0))</f>
        <v>0</v>
      </c>
      <c r="N144" s="32" t="n">
        <f aca="false">MIN(N142,MAX(N141-N140,0))</f>
        <v>0</v>
      </c>
      <c r="O144" s="32" t="n">
        <f aca="false">MIN(O142,MAX(O141-O140,0))</f>
        <v>0</v>
      </c>
      <c r="P144" s="32" t="n">
        <f aca="false">MIN(P142,MAX(P141-P140,0))</f>
        <v>0</v>
      </c>
      <c r="Q144" s="32" t="n">
        <f aca="false">MIN(Q142,MAX(Q141-Q140,0))</f>
        <v>0</v>
      </c>
      <c r="R144" s="32" t="n">
        <f aca="false">MIN(R142,MAX(R141-R140,0))</f>
        <v>0</v>
      </c>
      <c r="S144" s="32" t="n">
        <f aca="false">MIN(S142,MAX(S141-S140,0))</f>
        <v>0</v>
      </c>
    </row>
    <row r="145" customFormat="false" ht="15" hidden="false" customHeight="true" outlineLevel="0" collapsed="false">
      <c r="B145" s="8" t="s">
        <v>311</v>
      </c>
      <c r="C145" s="29" t="s">
        <v>121</v>
      </c>
      <c r="D145" s="47" t="n">
        <v>0</v>
      </c>
      <c r="E145" s="32" t="n">
        <f aca="false">E142+MAX(E140-E141,0)-E144</f>
        <v>0</v>
      </c>
      <c r="F145" s="32" t="n">
        <f aca="false">F142+MAX(F140-F141,0)-F144</f>
        <v>0</v>
      </c>
      <c r="G145" s="32" t="n">
        <f aca="false">G142+MAX(G140-G141,0)-G144</f>
        <v>0</v>
      </c>
      <c r="H145" s="32" t="n">
        <f aca="false">H142+MAX(H140-H141,0)-H144</f>
        <v>0</v>
      </c>
      <c r="I145" s="32" t="n">
        <f aca="false">I142+MAX(I140-I141,0)-I144</f>
        <v>0</v>
      </c>
      <c r="J145" s="32" t="n">
        <f aca="false">J142+MAX(J140-J141,0)-J144</f>
        <v>0</v>
      </c>
      <c r="K145" s="32" t="n">
        <f aca="false">K142+MAX(K140-K141,0)-K144</f>
        <v>0</v>
      </c>
      <c r="L145" s="32" t="n">
        <f aca="false">L142+MAX(L140-L141,0)-L144</f>
        <v>0</v>
      </c>
      <c r="M145" s="32" t="n">
        <f aca="false">M142+MAX(M140-M141,0)-M144</f>
        <v>0</v>
      </c>
      <c r="N145" s="32" t="n">
        <f aca="false">N142+MAX(N140-N141,0)-N144</f>
        <v>0</v>
      </c>
      <c r="O145" s="32" t="n">
        <f aca="false">O142+MAX(O140-O141,0)-O144</f>
        <v>0</v>
      </c>
      <c r="P145" s="32" t="n">
        <f aca="false">P142+MAX(P140-P141,0)-P144</f>
        <v>0</v>
      </c>
      <c r="Q145" s="32" t="n">
        <f aca="false">Q142+MAX(Q140-Q141,0)-Q144</f>
        <v>0</v>
      </c>
      <c r="R145" s="32" t="n">
        <f aca="false">R142+MAX(R140-R141,0)-R144</f>
        <v>0</v>
      </c>
      <c r="S145" s="32" t="n">
        <f aca="false">S142+MAX(S140-S141,0)-S144</f>
        <v>0</v>
      </c>
    </row>
    <row r="146" customFormat="false" ht="15" hidden="false" customHeight="true" outlineLevel="0" collapsed="false">
      <c r="B146" s="8" t="s">
        <v>214</v>
      </c>
      <c r="C146" s="29" t="s">
        <v>121</v>
      </c>
      <c r="E146" s="32" t="n">
        <f aca="false">E143+E144</f>
        <v>2625.31779083647</v>
      </c>
      <c r="F146" s="32" t="n">
        <f aca="false">F143+F144</f>
        <v>2402.54520626013</v>
      </c>
      <c r="G146" s="32" t="n">
        <f aca="false">G143+G144</f>
        <v>2258.14969401257</v>
      </c>
      <c r="H146" s="32" t="n">
        <f aca="false">H143+H144</f>
        <v>2101.77321900246</v>
      </c>
      <c r="I146" s="32" t="n">
        <f aca="false">I143+I144</f>
        <v>1893.7766664004</v>
      </c>
      <c r="J146" s="32" t="n">
        <f aca="false">J143+J144</f>
        <v>1598.61304499982</v>
      </c>
      <c r="K146" s="32" t="n">
        <f aca="false">K143+K144</f>
        <v>1379.30916489987</v>
      </c>
      <c r="L146" s="32" t="n">
        <f aca="false">L143+L144</f>
        <v>1142.08189106361</v>
      </c>
      <c r="M146" s="32" t="n">
        <f aca="false">M143+M144</f>
        <v>867.063092342201</v>
      </c>
      <c r="N146" s="32" t="n">
        <f aca="false">N143+N144</f>
        <v>571.679094821998</v>
      </c>
      <c r="O146" s="32" t="n">
        <f aca="false">O143+O144</f>
        <v>279.042898528971</v>
      </c>
      <c r="P146" s="32" t="n">
        <f aca="false">P143+P144</f>
        <v>166.299803970749</v>
      </c>
      <c r="Q146" s="32" t="n">
        <f aca="false">Q143+Q144</f>
        <v>0</v>
      </c>
      <c r="R146" s="32" t="n">
        <f aca="false">R143+R144</f>
        <v>0</v>
      </c>
      <c r="S146" s="32" t="n">
        <f aca="false">S143+S144</f>
        <v>0</v>
      </c>
    </row>
    <row r="147" customFormat="false" ht="15" hidden="false" customHeight="true" outlineLevel="0" collapsed="false">
      <c r="B147" s="8" t="s">
        <v>312</v>
      </c>
      <c r="C147" s="29" t="s">
        <v>121</v>
      </c>
      <c r="E147" s="32" t="n">
        <f aca="false">Calcs!E64-Calcs!E67-E146</f>
        <v>1725.56062956154</v>
      </c>
      <c r="F147" s="32" t="n">
        <f aca="false">Calcs!F64-Calcs!F67-F146</f>
        <v>2014.66831289379</v>
      </c>
      <c r="G147" s="32" t="n">
        <f aca="false">Calcs!G64-Calcs!G67-G146</f>
        <v>2189.44767191835</v>
      </c>
      <c r="H147" s="32" t="n">
        <f aca="false">Calcs!H64-Calcs!H67-H146</f>
        <v>2295.30740691381</v>
      </c>
      <c r="I147" s="32" t="n">
        <f aca="false">Calcs!I64-Calcs!I67-I146</f>
        <v>2416.14588640772</v>
      </c>
      <c r="J147" s="32" t="n">
        <f aca="false">Calcs!J64-Calcs!J67-J146</f>
        <v>2588.15279091662</v>
      </c>
      <c r="K147" s="32" t="n">
        <f aca="false">Calcs!K64-Calcs!K67-K146</f>
        <v>2649.43143306421</v>
      </c>
      <c r="L147" s="32" t="n">
        <f aca="false">Calcs!L64-Calcs!L67-L146</f>
        <v>3233.82586437493</v>
      </c>
      <c r="M147" s="32" t="n">
        <f aca="false">Calcs!M64-Calcs!M67-M146</f>
        <v>3748.28430473385</v>
      </c>
      <c r="N147" s="32" t="n">
        <f aca="false">Calcs!N64-Calcs!N67-N146</f>
        <v>2791.64809380693</v>
      </c>
      <c r="O147" s="32" t="n">
        <f aca="false">Calcs!O64-Calcs!O67-O146</f>
        <v>-2554.69145145899</v>
      </c>
      <c r="P147" s="32" t="n">
        <f aca="false">Calcs!P64-Calcs!P67-P146</f>
        <v>-2769.8677518876</v>
      </c>
      <c r="Q147" s="32" t="n">
        <f aca="false">Calcs!Q64-Calcs!Q67-Q146</f>
        <v>-2951.88034083808</v>
      </c>
      <c r="R147" s="32" t="n">
        <f aca="false">Calcs!R64-Calcs!R67-R146</f>
        <v>-3317.39037985694</v>
      </c>
      <c r="S147" s="32" t="n">
        <f aca="false">Calcs!S64-Calcs!S67-S146</f>
        <v>-3696.85888356309</v>
      </c>
    </row>
    <row r="148" customFormat="false" ht="15" hidden="false" customHeight="true" outlineLevel="0" collapsed="false">
      <c r="B148" s="8" t="s">
        <v>313</v>
      </c>
      <c r="C148" s="29" t="s">
        <v>121</v>
      </c>
      <c r="E148" s="32" t="n">
        <f aca="false">D150</f>
        <v>0</v>
      </c>
      <c r="F148" s="32" t="n">
        <f aca="false">E150</f>
        <v>0</v>
      </c>
      <c r="G148" s="32" t="n">
        <f aca="false">F150</f>
        <v>0</v>
      </c>
      <c r="H148" s="32" t="n">
        <f aca="false">G150</f>
        <v>0</v>
      </c>
      <c r="I148" s="32" t="n">
        <f aca="false">H150</f>
        <v>0</v>
      </c>
      <c r="J148" s="32" t="n">
        <f aca="false">I150</f>
        <v>0</v>
      </c>
      <c r="K148" s="32" t="n">
        <f aca="false">J150</f>
        <v>0</v>
      </c>
      <c r="L148" s="32" t="n">
        <f aca="false">K150</f>
        <v>0</v>
      </c>
      <c r="M148" s="32" t="n">
        <f aca="false">L150</f>
        <v>0</v>
      </c>
      <c r="N148" s="32" t="n">
        <f aca="false">M150</f>
        <v>0</v>
      </c>
      <c r="O148" s="32" t="n">
        <f aca="false">N150</f>
        <v>0</v>
      </c>
      <c r="P148" s="32" t="n">
        <f aca="false">O150</f>
        <v>2554.69145145899</v>
      </c>
      <c r="Q148" s="32" t="n">
        <f aca="false">P150</f>
        <v>5324.5592033466</v>
      </c>
      <c r="R148" s="32" t="n">
        <f aca="false">Q150</f>
        <v>8276.43954418468</v>
      </c>
      <c r="S148" s="32" t="n">
        <f aca="false">R150</f>
        <v>11593.8299240416</v>
      </c>
    </row>
    <row r="149" customFormat="false" ht="15" hidden="false" customHeight="true" outlineLevel="0" collapsed="false">
      <c r="B149" s="8" t="s">
        <v>218</v>
      </c>
      <c r="C149" s="29" t="s">
        <v>121</v>
      </c>
      <c r="E149" s="32" t="n">
        <f aca="false">MAX(E147-E148,0)</f>
        <v>1725.56062956154</v>
      </c>
      <c r="F149" s="32" t="n">
        <f aca="false">MAX(F147-F148,0)</f>
        <v>2014.66831289379</v>
      </c>
      <c r="G149" s="32" t="n">
        <f aca="false">MAX(G147-G148,0)</f>
        <v>2189.44767191835</v>
      </c>
      <c r="H149" s="32" t="n">
        <f aca="false">MAX(H147-H148,0)</f>
        <v>2295.30740691381</v>
      </c>
      <c r="I149" s="32" t="n">
        <f aca="false">MAX(I147-I148,0)</f>
        <v>2416.14588640772</v>
      </c>
      <c r="J149" s="32" t="n">
        <f aca="false">MAX(J147-J148,0)</f>
        <v>2588.15279091662</v>
      </c>
      <c r="K149" s="32" t="n">
        <f aca="false">MAX(K147-K148,0)</f>
        <v>2649.43143306421</v>
      </c>
      <c r="L149" s="32" t="n">
        <f aca="false">MAX(L147-L148,0)</f>
        <v>3233.82586437493</v>
      </c>
      <c r="M149" s="32" t="n">
        <f aca="false">MAX(M147-M148,0)</f>
        <v>3748.28430473385</v>
      </c>
      <c r="N149" s="32" t="n">
        <f aca="false">MAX(N147-N148,0)</f>
        <v>2791.64809380693</v>
      </c>
      <c r="O149" s="32" t="n">
        <f aca="false">MAX(O147-O148,0)</f>
        <v>0</v>
      </c>
      <c r="P149" s="32" t="n">
        <f aca="false">MAX(P147-P148,0)</f>
        <v>0</v>
      </c>
      <c r="Q149" s="32" t="n">
        <f aca="false">MAX(Q147-Q148,0)</f>
        <v>0</v>
      </c>
      <c r="R149" s="32" t="n">
        <f aca="false">MAX(R147-R148,0)</f>
        <v>0</v>
      </c>
      <c r="S149" s="32" t="n">
        <f aca="false">MAX(S147-S148,0)</f>
        <v>0</v>
      </c>
    </row>
    <row r="150" customFormat="false" ht="15" hidden="false" customHeight="true" outlineLevel="0" collapsed="false">
      <c r="B150" s="8" t="s">
        <v>314</v>
      </c>
      <c r="C150" s="29" t="s">
        <v>121</v>
      </c>
      <c r="D150" s="47" t="n">
        <v>0</v>
      </c>
      <c r="E150" s="32" t="n">
        <f aca="false">MAX(E148-E147,0)</f>
        <v>0</v>
      </c>
      <c r="F150" s="32" t="n">
        <f aca="false">MAX(F148-F147,0)</f>
        <v>0</v>
      </c>
      <c r="G150" s="32" t="n">
        <f aca="false">MAX(G148-G147,0)</f>
        <v>0</v>
      </c>
      <c r="H150" s="32" t="n">
        <f aca="false">MAX(H148-H147,0)</f>
        <v>0</v>
      </c>
      <c r="I150" s="32" t="n">
        <f aca="false">MAX(I148-I147,0)</f>
        <v>0</v>
      </c>
      <c r="J150" s="32" t="n">
        <f aca="false">MAX(J148-J147,0)</f>
        <v>0</v>
      </c>
      <c r="K150" s="32" t="n">
        <f aca="false">MAX(K148-K147,0)</f>
        <v>0</v>
      </c>
      <c r="L150" s="32" t="n">
        <f aca="false">MAX(L148-L147,0)</f>
        <v>0</v>
      </c>
      <c r="M150" s="32" t="n">
        <f aca="false">MAX(M148-M147,0)</f>
        <v>0</v>
      </c>
      <c r="N150" s="32" t="n">
        <f aca="false">MAX(N148-N147,0)</f>
        <v>0</v>
      </c>
      <c r="O150" s="32" t="n">
        <f aca="false">MAX(O148-O147,0)</f>
        <v>2554.69145145899</v>
      </c>
      <c r="P150" s="32" t="n">
        <f aca="false">MAX(P148-P147,0)</f>
        <v>5324.5592033466</v>
      </c>
      <c r="Q150" s="32" t="n">
        <f aca="false">MAX(Q148-Q147,0)</f>
        <v>8276.43954418468</v>
      </c>
      <c r="R150" s="32" t="n">
        <f aca="false">MAX(R148-R147,0)</f>
        <v>11593.8299240416</v>
      </c>
      <c r="S150" s="32" t="n">
        <f aca="false">MAX(S148-S147,0)</f>
        <v>15290.6888076047</v>
      </c>
    </row>
    <row r="151" customFormat="false" ht="15" hidden="false" customHeight="true" outlineLevel="0" collapsed="false">
      <c r="B151" s="8" t="s">
        <v>315</v>
      </c>
      <c r="C151" s="29" t="s">
        <v>121</v>
      </c>
      <c r="E151" s="32" t="n">
        <f aca="false">E149*Assumptions!$D$69</f>
        <v>431.390157390385</v>
      </c>
      <c r="F151" s="32" t="n">
        <f aca="false">F149*Assumptions!$D$69</f>
        <v>503.667078223448</v>
      </c>
      <c r="G151" s="32" t="n">
        <f aca="false">G149*Assumptions!$D$69</f>
        <v>547.361917979587</v>
      </c>
      <c r="H151" s="32" t="n">
        <f aca="false">H149*Assumptions!$D$69</f>
        <v>573.826851728452</v>
      </c>
      <c r="I151" s="32" t="n">
        <f aca="false">I149*Assumptions!$D$69</f>
        <v>604.036471601929</v>
      </c>
      <c r="J151" s="32" t="n">
        <f aca="false">J149*Assumptions!$D$69</f>
        <v>647.038197729156</v>
      </c>
      <c r="K151" s="32" t="n">
        <f aca="false">K149*Assumptions!$D$69</f>
        <v>662.357858266052</v>
      </c>
      <c r="L151" s="32" t="n">
        <f aca="false">L149*Assumptions!$D$69</f>
        <v>808.456466093732</v>
      </c>
      <c r="M151" s="32" t="n">
        <f aca="false">M149*Assumptions!$D$69</f>
        <v>937.071076183462</v>
      </c>
      <c r="N151" s="32" t="n">
        <f aca="false">N149*Assumptions!$D$69</f>
        <v>697.912023451733</v>
      </c>
      <c r="O151" s="32" t="n">
        <f aca="false">O149*Assumptions!$D$69</f>
        <v>0</v>
      </c>
      <c r="P151" s="32" t="n">
        <f aca="false">P149*Assumptions!$D$69</f>
        <v>0</v>
      </c>
      <c r="Q151" s="32" t="n">
        <f aca="false">Q149*Assumptions!$D$69</f>
        <v>0</v>
      </c>
      <c r="R151" s="32" t="n">
        <f aca="false">R149*Assumptions!$D$69</f>
        <v>0</v>
      </c>
      <c r="S151" s="32" t="n">
        <f aca="false">S149*Assumptions!$D$69</f>
        <v>0</v>
      </c>
    </row>
    <row r="153" customFormat="false" ht="15" hidden="false" customHeight="true" outlineLevel="0" collapsed="false">
      <c r="B153" s="8" t="s">
        <v>232</v>
      </c>
      <c r="C153" s="29" t="s">
        <v>121</v>
      </c>
      <c r="E153" s="77" t="n">
        <f aca="false">Calcs!E64-E151+Calcs!E79</f>
        <v>8408.86002263056</v>
      </c>
      <c r="F153" s="77" t="n">
        <f aca="false">Calcs!F64-F151+Calcs!F79</f>
        <v>8406.39695331935</v>
      </c>
      <c r="G153" s="77" t="n">
        <f aca="false">Calcs!G64-G151+Calcs!G79</f>
        <v>8396.70665980005</v>
      </c>
      <c r="H153" s="77" t="n">
        <f aca="false">Calcs!H64-H151+Calcs!H79</f>
        <v>8327.97323794502</v>
      </c>
      <c r="I153" s="77" t="n">
        <f aca="false">Calcs!I64-I151+Calcs!I79</f>
        <v>8214.29957691744</v>
      </c>
      <c r="J153" s="77" t="n">
        <f aca="false">Calcs!J64-J151+Calcs!J79</f>
        <v>8051.77002530499</v>
      </c>
      <c r="K153" s="77" t="n">
        <f aca="false">Calcs!K64-K151+Calcs!K79</f>
        <v>7881.93961685571</v>
      </c>
      <c r="L153" s="77" t="n">
        <f aca="false">Calcs!L64-L151+Calcs!L79</f>
        <v>8031.94787573859</v>
      </c>
      <c r="M153" s="77" t="n">
        <f aca="false">Calcs!M64-M151+Calcs!M79</f>
        <v>8153.64957793338</v>
      </c>
      <c r="N153" s="77" t="n">
        <f aca="false">Calcs!N64-N151+Calcs!N79</f>
        <v>7291.49467337937</v>
      </c>
      <c r="O153" s="77" t="n">
        <f aca="false">Calcs!O64-O151+Calcs!O79</f>
        <v>2793.73444686827</v>
      </c>
      <c r="P153" s="77" t="n">
        <f aca="false">Calcs!P64-P151+Calcs!P79</f>
        <v>1929.10869898459</v>
      </c>
      <c r="Q153" s="77" t="n">
        <f aca="false">Calcs!Q64-Q151+Calcs!Q79</f>
        <v>1582.846711575</v>
      </c>
      <c r="R153" s="77" t="n">
        <f aca="false">Calcs!R64-R151+Calcs!R79</f>
        <v>1219.06394624245</v>
      </c>
      <c r="S153" s="77" t="n">
        <f aca="false">Calcs!S64-S151+Calcs!S79</f>
        <v>840.995150058475</v>
      </c>
    </row>
    <row r="154" customFormat="false" ht="15" hidden="false" customHeight="true" outlineLevel="0" collapsed="false">
      <c r="B154" s="8" t="s">
        <v>366</v>
      </c>
      <c r="C154" s="29" t="s">
        <v>121</v>
      </c>
      <c r="E154" s="82" t="n">
        <f aca="false">Calcs!E104</f>
        <v>6360.58282981257</v>
      </c>
      <c r="F154" s="82" t="n">
        <f aca="false">Calcs!F104</f>
        <v>6376.69588839362</v>
      </c>
      <c r="G154" s="82" t="n">
        <f aca="false">Calcs!G104</f>
        <v>6388.87023842762</v>
      </c>
      <c r="H154" s="82" t="n">
        <f aca="false">Calcs!H104</f>
        <v>6357.39335527442</v>
      </c>
      <c r="I154" s="82" t="n">
        <f aca="false">Calcs!I104</f>
        <v>6293.27260624638</v>
      </c>
      <c r="J154" s="82" t="n">
        <f aca="false">Calcs!J104</f>
        <v>6193.66925070148</v>
      </c>
      <c r="K154" s="82" t="n">
        <f aca="false">Calcs!K104</f>
        <v>6063.03047460153</v>
      </c>
      <c r="L154" s="82" t="n">
        <f aca="false">Calcs!L104</f>
        <v>6178.42144276528</v>
      </c>
      <c r="M154" s="82" t="n">
        <f aca="false">Calcs!M104</f>
        <v>6272.03813704387</v>
      </c>
      <c r="N154" s="82" t="n">
        <f aca="false">Calcs!N104</f>
        <v>5608.84205652367</v>
      </c>
      <c r="O154" s="82" t="n">
        <f aca="false">Calcs!O104</f>
        <v>2149.02649723064</v>
      </c>
      <c r="P154" s="82" t="n">
        <f aca="false">Calcs!P104</f>
        <v>1483.92976867242</v>
      </c>
      <c r="Q154" s="82" t="n">
        <f aca="false">Calcs!Q104</f>
        <v>0</v>
      </c>
      <c r="R154" s="82" t="n">
        <f aca="false">Calcs!R104</f>
        <v>0</v>
      </c>
      <c r="S154" s="82" t="n">
        <f aca="false">Calcs!S104</f>
        <v>0</v>
      </c>
    </row>
    <row r="155" customFormat="false" ht="15" hidden="false" customHeight="true" outlineLevel="0" collapsed="false">
      <c r="B155" s="8" t="s">
        <v>367</v>
      </c>
      <c r="C155" s="29" t="s">
        <v>121</v>
      </c>
      <c r="E155" s="77" t="n">
        <f aca="false">E153-E154</f>
        <v>2048.277192818</v>
      </c>
      <c r="F155" s="77" t="n">
        <f aca="false">F153-F154</f>
        <v>2029.70106492573</v>
      </c>
      <c r="G155" s="77" t="n">
        <f aca="false">G153-G154</f>
        <v>2007.83642137243</v>
      </c>
      <c r="H155" s="77" t="n">
        <f aca="false">H153-H154</f>
        <v>1970.5798826706</v>
      </c>
      <c r="I155" s="77" t="n">
        <f aca="false">I153-I154</f>
        <v>1921.02697067106</v>
      </c>
      <c r="J155" s="77" t="n">
        <f aca="false">J153-J154</f>
        <v>1858.10077460351</v>
      </c>
      <c r="K155" s="77" t="n">
        <f aca="false">K153-K154</f>
        <v>1818.90914225418</v>
      </c>
      <c r="L155" s="77" t="n">
        <f aca="false">L153-L154</f>
        <v>1853.52643297332</v>
      </c>
      <c r="M155" s="77" t="n">
        <f aca="false">M153-M154</f>
        <v>1881.61144088952</v>
      </c>
      <c r="N155" s="77" t="n">
        <f aca="false">N153-N154</f>
        <v>1682.65261685571</v>
      </c>
      <c r="O155" s="77" t="n">
        <f aca="false">O153-O154</f>
        <v>644.707949637632</v>
      </c>
      <c r="P155" s="77" t="n">
        <f aca="false">P153-P154</f>
        <v>445.178930312177</v>
      </c>
      <c r="Q155" s="77" t="n">
        <f aca="false">Q153-Q154</f>
        <v>1582.846711575</v>
      </c>
      <c r="R155" s="77" t="n">
        <f aca="false">R153-R154</f>
        <v>1219.06394624245</v>
      </c>
      <c r="S155" s="77" t="n">
        <f aca="false">S153-S154</f>
        <v>840.995150058475</v>
      </c>
    </row>
    <row r="156" customFormat="false" ht="15" hidden="false" customHeight="true" outlineLevel="0" collapsed="false">
      <c r="B156" s="8" t="s">
        <v>368</v>
      </c>
      <c r="C156" s="29" t="s">
        <v>111</v>
      </c>
      <c r="E156" s="80" t="n">
        <f aca="false">IF(E138=0,"n/a",E155/E138)</f>
        <v>1.27948887185753</v>
      </c>
      <c r="F156" s="80" t="n">
        <f aca="false">IF(F138=0,"n/a",F155/F138)</f>
        <v>1.26788499861044</v>
      </c>
      <c r="G156" s="80" t="n">
        <f aca="false">IF(G138=0,"n/a",G155/G138)</f>
        <v>1.25422690183932</v>
      </c>
      <c r="H156" s="80" t="n">
        <f aca="false">IF(H138=0,"n/a",H155/H138)</f>
        <v>1.23095401336501</v>
      </c>
      <c r="I156" s="80" t="n">
        <f aca="false">IF(I138=0,"n/a",I155/I138)</f>
        <v>1.20000000006357</v>
      </c>
      <c r="J156" s="80" t="str">
        <f aca="false">IF(J138=0,"n/a",J155/J138)</f>
        <v>n/a</v>
      </c>
      <c r="K156" s="80" t="str">
        <f aca="false">IF(K138=0,"n/a",K155/K138)</f>
        <v>n/a</v>
      </c>
      <c r="L156" s="80" t="str">
        <f aca="false">IF(L138=0,"n/a",L155/L138)</f>
        <v>n/a</v>
      </c>
      <c r="M156" s="80" t="str">
        <f aca="false">IF(M138=0,"n/a",M155/M138)</f>
        <v>n/a</v>
      </c>
      <c r="N156" s="80" t="str">
        <f aca="false">IF(N138=0,"n/a",N155/N138)</f>
        <v>n/a</v>
      </c>
      <c r="O156" s="80" t="str">
        <f aca="false">IF(O138=0,"n/a",O155/O138)</f>
        <v>n/a</v>
      </c>
      <c r="P156" s="80" t="str">
        <f aca="false">IF(P138=0,"n/a",P155/P138)</f>
        <v>n/a</v>
      </c>
      <c r="Q156" s="80" t="str">
        <f aca="false">IF(Q138=0,"n/a",Q155/Q138)</f>
        <v>n/a</v>
      </c>
      <c r="R156" s="80" t="str">
        <f aca="false">IF(R138=0,"n/a",R155/R138)</f>
        <v>n/a</v>
      </c>
      <c r="S156" s="80" t="str">
        <f aca="false">IF(S138=0,"n/a",S155/S138)</f>
        <v>n/a</v>
      </c>
    </row>
    <row r="157" customFormat="false" ht="15" hidden="false" customHeight="true" outlineLevel="0" collapsed="false">
      <c r="B157" s="8" t="s">
        <v>322</v>
      </c>
      <c r="C157" s="29" t="s">
        <v>121</v>
      </c>
      <c r="E157" s="32" t="n">
        <f aca="false">Output!$D$74</f>
        <v>3500</v>
      </c>
      <c r="F157" s="32" t="n">
        <v>0</v>
      </c>
      <c r="G157" s="32" t="n">
        <v>0</v>
      </c>
      <c r="H157" s="32" t="n">
        <v>0</v>
      </c>
      <c r="I157" s="32" t="n">
        <v>0</v>
      </c>
      <c r="J157" s="32" t="n">
        <v>0</v>
      </c>
      <c r="K157" s="32" t="n">
        <v>0</v>
      </c>
      <c r="L157" s="32" t="n">
        <v>0</v>
      </c>
      <c r="M157" s="32" t="n">
        <v>0</v>
      </c>
      <c r="N157" s="32" t="n">
        <v>0</v>
      </c>
      <c r="O157" s="32" t="n">
        <v>0</v>
      </c>
      <c r="P157" s="32" t="n">
        <v>0</v>
      </c>
      <c r="Q157" s="32" t="n">
        <v>0</v>
      </c>
      <c r="R157" s="32" t="n">
        <v>0</v>
      </c>
      <c r="S157" s="32" t="n">
        <v>0</v>
      </c>
    </row>
    <row r="158" customFormat="false" ht="15" hidden="false" customHeight="true" outlineLevel="0" collapsed="false">
      <c r="B158" s="8" t="s">
        <v>323</v>
      </c>
      <c r="C158" s="29" t="s">
        <v>121</v>
      </c>
      <c r="E158" s="77" t="n">
        <f aca="false">E155-E138+E157</f>
        <v>3947.42138401025</v>
      </c>
      <c r="F158" s="77" t="n">
        <f aca="false">F155-F138+F157</f>
        <v>428.84525611798</v>
      </c>
      <c r="G158" s="77" t="n">
        <f aca="false">G155-G138+G157</f>
        <v>406.980612564676</v>
      </c>
      <c r="H158" s="77" t="n">
        <f aca="false">H155-H138+H157</f>
        <v>369.724073862846</v>
      </c>
      <c r="I158" s="77" t="n">
        <f aca="false">I155-I138+I157</f>
        <v>320.171161863312</v>
      </c>
      <c r="J158" s="77" t="n">
        <f aca="false">J155-J138+J157</f>
        <v>1858.10077460351</v>
      </c>
      <c r="K158" s="77" t="n">
        <f aca="false">K155-K138+K157</f>
        <v>1818.90914225418</v>
      </c>
      <c r="L158" s="77" t="n">
        <f aca="false">L155-L138+L157</f>
        <v>1853.52643297332</v>
      </c>
      <c r="M158" s="77" t="n">
        <f aca="false">M155-M138+M157</f>
        <v>1881.61144088952</v>
      </c>
      <c r="N158" s="77" t="n">
        <f aca="false">N155-N138+N157</f>
        <v>1682.65261685571</v>
      </c>
      <c r="O158" s="77" t="n">
        <f aca="false">O155-O138+O157</f>
        <v>644.707949637632</v>
      </c>
      <c r="P158" s="77" t="n">
        <f aca="false">P155-P138+P157</f>
        <v>445.178930312177</v>
      </c>
      <c r="Q158" s="77" t="n">
        <f aca="false">Q155-Q138+Q157</f>
        <v>1582.846711575</v>
      </c>
      <c r="R158" s="77" t="n">
        <f aca="false">R155-R138+R157</f>
        <v>1219.06394624245</v>
      </c>
      <c r="S158" s="77" t="n">
        <f aca="false">S155-S138+S157</f>
        <v>840.995150058475</v>
      </c>
    </row>
    <row r="159" customFormat="false" ht="15" hidden="false" customHeight="true" outlineLevel="0" collapsed="false">
      <c r="B159" s="8" t="s">
        <v>237</v>
      </c>
      <c r="C159" s="29" t="s">
        <v>121</v>
      </c>
      <c r="D159" s="77" t="n">
        <f aca="false">-(Output!$D$56-$D$131)</f>
        <v>-8573.10267348445</v>
      </c>
      <c r="E159" s="77" t="n">
        <f aca="false">E158</f>
        <v>3947.42138401025</v>
      </c>
      <c r="F159" s="77" t="n">
        <f aca="false">F158</f>
        <v>428.84525611798</v>
      </c>
      <c r="G159" s="77" t="n">
        <f aca="false">G158</f>
        <v>406.980612564676</v>
      </c>
      <c r="H159" s="77" t="n">
        <f aca="false">H158</f>
        <v>369.724073862846</v>
      </c>
      <c r="I159" s="77" t="n">
        <f aca="false">I158</f>
        <v>320.171161863312</v>
      </c>
      <c r="J159" s="77" t="n">
        <f aca="false">J158</f>
        <v>1858.10077460351</v>
      </c>
      <c r="K159" s="77" t="n">
        <f aca="false">K158</f>
        <v>1818.90914225418</v>
      </c>
      <c r="L159" s="77" t="n">
        <f aca="false">L158</f>
        <v>1853.52643297332</v>
      </c>
      <c r="M159" s="77" t="n">
        <f aca="false">M158</f>
        <v>1881.61144088952</v>
      </c>
      <c r="N159" s="77" t="n">
        <f aca="false">N158</f>
        <v>1682.65261685571</v>
      </c>
      <c r="O159" s="77" t="n">
        <f aca="false">O158</f>
        <v>644.707949637632</v>
      </c>
      <c r="P159" s="77" t="n">
        <f aca="false">P158</f>
        <v>445.178930312177</v>
      </c>
      <c r="Q159" s="77" t="n">
        <f aca="false">Q158</f>
        <v>1582.846711575</v>
      </c>
      <c r="R159" s="77" t="n">
        <f aca="false">R158</f>
        <v>1219.06394624245</v>
      </c>
      <c r="S159" s="77" t="n">
        <f aca="false">S158</f>
        <v>840.995150058475</v>
      </c>
    </row>
    <row r="161" customFormat="false" ht="15" hidden="false" customHeight="true" outlineLevel="0" collapsed="false">
      <c r="B161" s="14" t="s">
        <v>369</v>
      </c>
    </row>
    <row r="162" customFormat="false" ht="15" hidden="false" customHeight="true" outlineLevel="0" collapsed="false">
      <c r="B162" s="8" t="s">
        <v>370</v>
      </c>
      <c r="C162" s="29" t="s">
        <v>121</v>
      </c>
      <c r="D162" s="32" t="n">
        <f aca="false">MIN(E155:I155)</f>
        <v>1921.02697067106</v>
      </c>
    </row>
    <row r="163" customFormat="false" ht="15" hidden="false" customHeight="true" outlineLevel="0" collapsed="false">
      <c r="B163" s="8" t="s">
        <v>371</v>
      </c>
      <c r="C163" s="29" t="s">
        <v>121</v>
      </c>
      <c r="D163" s="32" t="n">
        <f aca="false">D162/D129</f>
        <v>1600.85580889255</v>
      </c>
    </row>
    <row r="164" customFormat="false" ht="15" hidden="false" customHeight="true" outlineLevel="0" collapsed="false">
      <c r="B164" s="8" t="s">
        <v>372</v>
      </c>
      <c r="C164" s="29" t="s">
        <v>121</v>
      </c>
      <c r="D164" s="77" t="n">
        <f aca="false">D163*D130</f>
        <v>6226.77081950285</v>
      </c>
    </row>
    <row r="165" customFormat="false" ht="15" hidden="false" customHeight="true" outlineLevel="0" collapsed="false">
      <c r="B165" s="8" t="s">
        <v>373</v>
      </c>
      <c r="C165" s="29" t="s">
        <v>121</v>
      </c>
      <c r="D165" s="72" t="n">
        <f aca="false">D131-D164</f>
        <v>-3.29849171976093E-007</v>
      </c>
    </row>
    <row r="167" customFormat="false" ht="15" hidden="false" customHeight="true" outlineLevel="0" collapsed="false">
      <c r="B167" s="8" t="s">
        <v>374</v>
      </c>
      <c r="C167" s="29" t="s">
        <v>121</v>
      </c>
      <c r="D167" s="77" t="n">
        <f aca="false">Output!$D$56-$D$131</f>
        <v>8573.10267348445</v>
      </c>
    </row>
    <row r="168" customFormat="false" ht="15" hidden="false" customHeight="true" outlineLevel="0" collapsed="false">
      <c r="B168" s="14" t="s">
        <v>375</v>
      </c>
      <c r="C168" s="29" t="s">
        <v>54</v>
      </c>
      <c r="D168" s="92" t="n">
        <f aca="false">IRR(D159:S159)</f>
        <v>0.139488906906813</v>
      </c>
    </row>
    <row r="169" customFormat="false" ht="15" hidden="false" customHeight="true" outlineLevel="0" collapsed="false">
      <c r="B169" s="8" t="s">
        <v>326</v>
      </c>
      <c r="C169" s="29" t="s">
        <v>111</v>
      </c>
      <c r="D169" s="80" t="n">
        <f aca="false">SUM(E159:S159)/-D159</f>
        <v>2.25131277658855</v>
      </c>
    </row>
    <row r="170" customFormat="false" ht="15" hidden="false" customHeight="true" outlineLevel="0" collapsed="false">
      <c r="B170" s="8" t="s">
        <v>376</v>
      </c>
      <c r="C170" s="29" t="s">
        <v>297</v>
      </c>
      <c r="D170" s="32" t="n">
        <f aca="false">(D168-Output!$D$57)*10000</f>
        <v>194.889069068134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2:S10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7" min="3" style="0" width="19"/>
  </cols>
  <sheetData>
    <row r="2" customFormat="false" ht="21.75" hidden="false" customHeight="true" outlineLevel="0" collapsed="false">
      <c r="A2" s="98" t="n">
        <f aca="false">Analysis!A2+1</f>
        <v>5</v>
      </c>
      <c r="B2" s="99" t="s">
        <v>377</v>
      </c>
      <c r="C2" s="100"/>
      <c r="D2" s="100"/>
      <c r="E2" s="100"/>
      <c r="F2" s="100"/>
      <c r="G2" s="100"/>
      <c r="H2" s="100"/>
      <c r="I2" s="100"/>
      <c r="J2" s="100"/>
      <c r="K2" s="100"/>
      <c r="L2" s="100"/>
      <c r="M2" s="100"/>
      <c r="N2" s="100"/>
      <c r="O2" s="100"/>
      <c r="P2" s="100"/>
      <c r="Q2" s="100"/>
      <c r="R2" s="100"/>
      <c r="S2" s="100"/>
    </row>
    <row r="4" customFormat="false" ht="15" hidden="false" customHeight="true" outlineLevel="0" collapsed="false">
      <c r="A4" s="55" t="n">
        <f aca="false">MAX($A$2:A3)+0.01</f>
        <v>5.01</v>
      </c>
      <c r="B4" s="56" t="s">
        <v>378</v>
      </c>
      <c r="C4" s="57"/>
      <c r="D4" s="57"/>
      <c r="E4" s="57"/>
      <c r="F4" s="57"/>
      <c r="G4" s="57"/>
      <c r="H4" s="57"/>
      <c r="I4" s="57"/>
      <c r="J4" s="57"/>
      <c r="K4" s="57"/>
      <c r="L4" s="57"/>
      <c r="M4" s="57"/>
      <c r="N4" s="57"/>
      <c r="O4" s="57"/>
      <c r="P4" s="57"/>
      <c r="Q4" s="57"/>
      <c r="R4" s="57"/>
      <c r="S4" s="57"/>
    </row>
    <row r="6" customFormat="false" ht="15" hidden="false" customHeight="true" outlineLevel="0" collapsed="false">
      <c r="B6" s="106" t="s">
        <v>379</v>
      </c>
      <c r="C6" s="106" t="s">
        <v>380</v>
      </c>
      <c r="D6" s="106" t="s">
        <v>381</v>
      </c>
      <c r="E6" s="106" t="s">
        <v>382</v>
      </c>
      <c r="F6" s="106" t="s">
        <v>383</v>
      </c>
    </row>
    <row r="7" customFormat="false" ht="15" hidden="false" customHeight="true" outlineLevel="0" collapsed="false">
      <c r="B7" s="107" t="n">
        <v>0.1</v>
      </c>
      <c r="C7" s="32" t="n">
        <f aca="false">NPV($B7,Output!$E$46:$S$46)</f>
        <v>16054.7780959597</v>
      </c>
      <c r="D7" s="32" t="n">
        <f aca="false">C7+Calcs!$D$98-Calcs!$D$99-Assumptions!$D$92</f>
        <v>65772.4072993797</v>
      </c>
      <c r="E7" s="32" t="n">
        <f aca="false">D7-Output!$D$74</f>
        <v>62272.4072993797</v>
      </c>
      <c r="F7" s="32" t="n">
        <f aca="false">E7/Assumptions!$D$47</f>
        <v>1245.44814598759</v>
      </c>
    </row>
    <row r="8" customFormat="false" ht="15" hidden="false" customHeight="true" outlineLevel="0" collapsed="false">
      <c r="B8" s="107" t="n">
        <v>0.105</v>
      </c>
      <c r="C8" s="32" t="n">
        <f aca="false">NPV($B8,Output!$E$46:$S$46)</f>
        <v>15722.5368889962</v>
      </c>
      <c r="D8" s="32" t="n">
        <f aca="false">C8+Calcs!$D$98-Calcs!$D$99-Assumptions!$D$92</f>
        <v>65440.1660924162</v>
      </c>
      <c r="E8" s="32" t="n">
        <f aca="false">D8-Output!$D$74</f>
        <v>61940.1660924162</v>
      </c>
      <c r="F8" s="32" t="n">
        <f aca="false">E8/Assumptions!$D$47</f>
        <v>1238.80332184832</v>
      </c>
    </row>
    <row r="9" customFormat="false" ht="15" hidden="false" customHeight="true" outlineLevel="0" collapsed="false">
      <c r="B9" s="107" t="n">
        <v>0.11</v>
      </c>
      <c r="C9" s="32" t="n">
        <f aca="false">NPV($B9,Output!$E$46:$S$46)</f>
        <v>15403.0608265796</v>
      </c>
      <c r="D9" s="32" t="n">
        <f aca="false">C9+Calcs!$D$98-Calcs!$D$99-Assumptions!$D$92</f>
        <v>65120.6900299996</v>
      </c>
      <c r="E9" s="32" t="n">
        <f aca="false">D9-Output!$D$74</f>
        <v>61620.6900299996</v>
      </c>
      <c r="F9" s="32" t="n">
        <f aca="false">E9/Assumptions!$D$47</f>
        <v>1232.41380059999</v>
      </c>
    </row>
    <row r="10" customFormat="false" ht="15" hidden="false" customHeight="true" outlineLevel="0" collapsed="false">
      <c r="B10" s="107" t="n">
        <v>0.115</v>
      </c>
      <c r="C10" s="32" t="n">
        <f aca="false">NPV($B10,Output!$E$46:$S$46)</f>
        <v>15095.7077299253</v>
      </c>
      <c r="D10" s="32" t="n">
        <f aca="false">C10+Calcs!$D$98-Calcs!$D$99-Assumptions!$D$92</f>
        <v>64813.3369333453</v>
      </c>
      <c r="E10" s="32" t="n">
        <f aca="false">D10-Output!$D$74</f>
        <v>61313.3369333453</v>
      </c>
      <c r="F10" s="32" t="n">
        <f aca="false">E10/Assumptions!$D$47</f>
        <v>1226.26673866691</v>
      </c>
    </row>
    <row r="11" customFormat="false" ht="15" hidden="false" customHeight="true" outlineLevel="0" collapsed="false">
      <c r="B11" s="108" t="n">
        <v>0.12</v>
      </c>
      <c r="C11" s="91" t="n">
        <f aca="false">NPV($B11,Output!$E$46:$S$46)</f>
        <v>14799.8734926574</v>
      </c>
      <c r="D11" s="91" t="n">
        <f aca="false">C11+Calcs!$D$98-Calcs!$D$99-Assumptions!$D$92</f>
        <v>64517.5026960775</v>
      </c>
      <c r="E11" s="91" t="n">
        <f aca="false">D11-Output!$D$74</f>
        <v>61017.5026960775</v>
      </c>
      <c r="F11" s="91" t="n">
        <f aca="false">E11/Assumptions!$D$47</f>
        <v>1220.35005392155</v>
      </c>
    </row>
    <row r="12" customFormat="false" ht="15" hidden="false" customHeight="true" outlineLevel="0" collapsed="false">
      <c r="B12" s="107" t="n">
        <v>0.125</v>
      </c>
      <c r="C12" s="32" t="n">
        <f aca="false">NPV($B12,Output!$E$46:$S$46)</f>
        <v>14514.9895412585</v>
      </c>
      <c r="D12" s="32" t="n">
        <f aca="false">C12+Calcs!$D$98-Calcs!$D$99-Assumptions!$D$92</f>
        <v>64232.6187446785</v>
      </c>
      <c r="E12" s="32" t="n">
        <f aca="false">D12-Output!$D$74</f>
        <v>60732.6187446785</v>
      </c>
      <c r="F12" s="32" t="n">
        <f aca="false">E12/Assumptions!$D$47</f>
        <v>1214.65237489357</v>
      </c>
    </row>
    <row r="13" customFormat="false" ht="15" hidden="false" customHeight="true" outlineLevel="0" collapsed="false">
      <c r="B13" s="107" t="n">
        <v>0.13</v>
      </c>
      <c r="C13" s="32" t="n">
        <f aca="false">NPV($B13,Output!$E$46:$S$46)</f>
        <v>14240.5204812767</v>
      </c>
      <c r="D13" s="32" t="n">
        <f aca="false">C13+Calcs!$D$98-Calcs!$D$99-Assumptions!$D$92</f>
        <v>63958.1496846967</v>
      </c>
      <c r="E13" s="32" t="n">
        <f aca="false">D13-Output!$D$74</f>
        <v>60458.1496846967</v>
      </c>
      <c r="F13" s="32" t="n">
        <f aca="false">E13/Assumptions!$D$47</f>
        <v>1209.16299369393</v>
      </c>
    </row>
    <row r="14" customFormat="false" ht="15" hidden="false" customHeight="true" outlineLevel="0" collapsed="false">
      <c r="B14" s="107" t="n">
        <v>0.14</v>
      </c>
      <c r="C14" s="32" t="n">
        <f aca="false">NPV($B14,Output!$E$46:$S$46)</f>
        <v>13720.8384145895</v>
      </c>
      <c r="D14" s="32" t="n">
        <f aca="false">C14+Calcs!$D$98-Calcs!$D$99-Assumptions!$D$92</f>
        <v>63438.4676180095</v>
      </c>
      <c r="E14" s="32" t="n">
        <f aca="false">D14-Output!$D$74</f>
        <v>59938.4676180095</v>
      </c>
      <c r="F14" s="32" t="n">
        <f aca="false">E14/Assumptions!$D$47</f>
        <v>1198.76935236019</v>
      </c>
    </row>
    <row r="16" customFormat="false" ht="15" hidden="false" customHeight="true" outlineLevel="0" collapsed="false">
      <c r="B16" s="29" t="s">
        <v>384</v>
      </c>
    </row>
    <row r="19" customFormat="false" ht="15" hidden="false" customHeight="true" outlineLevel="0" collapsed="false">
      <c r="A19" s="55" t="n">
        <f aca="false">MAX($A$2:A18)+0.01</f>
        <v>5.02</v>
      </c>
      <c r="B19" s="56" t="s">
        <v>385</v>
      </c>
      <c r="C19" s="57"/>
      <c r="D19" s="57"/>
      <c r="E19" s="57"/>
      <c r="F19" s="57"/>
      <c r="G19" s="57"/>
      <c r="H19" s="57"/>
      <c r="I19" s="57"/>
      <c r="J19" s="57"/>
      <c r="K19" s="57"/>
      <c r="L19" s="57"/>
      <c r="M19" s="57"/>
      <c r="N19" s="57"/>
      <c r="O19" s="57"/>
      <c r="P19" s="57"/>
      <c r="Q19" s="57"/>
      <c r="R19" s="57"/>
      <c r="S19" s="57"/>
    </row>
    <row r="21" customFormat="false" ht="15" hidden="false" customHeight="true" outlineLevel="0" collapsed="false">
      <c r="B21" s="106" t="s">
        <v>386</v>
      </c>
      <c r="C21" s="106" t="s">
        <v>324</v>
      </c>
      <c r="D21" s="106" t="s">
        <v>116</v>
      </c>
      <c r="E21" s="106" t="s">
        <v>387</v>
      </c>
    </row>
    <row r="22" customFormat="false" ht="15" hidden="false" customHeight="true" outlineLevel="0" collapsed="false">
      <c r="B22" s="14" t="s">
        <v>388</v>
      </c>
      <c r="C22" s="34" t="n">
        <v>0.12</v>
      </c>
      <c r="D22" s="60" t="n">
        <v>1.3</v>
      </c>
      <c r="E22" s="29" t="s">
        <v>389</v>
      </c>
    </row>
    <row r="23" customFormat="false" ht="15" hidden="false" customHeight="true" outlineLevel="0" collapsed="false">
      <c r="B23" s="8" t="s">
        <v>390</v>
      </c>
      <c r="C23" s="34" t="n">
        <v>0.0689</v>
      </c>
      <c r="D23" s="60" t="n">
        <v>1.21</v>
      </c>
      <c r="E23" s="29" t="s">
        <v>391</v>
      </c>
    </row>
    <row r="24" customFormat="false" ht="15" hidden="false" customHeight="true" outlineLevel="0" collapsed="false">
      <c r="B24" s="8" t="s">
        <v>392</v>
      </c>
      <c r="C24" s="34" t="n">
        <v>0.0595</v>
      </c>
      <c r="D24" s="60" t="n">
        <v>1.09</v>
      </c>
      <c r="E24" s="29" t="s">
        <v>393</v>
      </c>
    </row>
    <row r="25" customFormat="false" ht="15" hidden="false" customHeight="true" outlineLevel="0" collapsed="false">
      <c r="B25" s="8" t="s">
        <v>394</v>
      </c>
      <c r="C25" s="34" t="n">
        <v>0.0867</v>
      </c>
      <c r="D25" s="60" t="n">
        <v>1.1</v>
      </c>
      <c r="E25" s="29" t="s">
        <v>395</v>
      </c>
    </row>
    <row r="26" customFormat="false" ht="15" hidden="false" customHeight="true" outlineLevel="0" collapsed="false">
      <c r="B26" s="8" t="s">
        <v>396</v>
      </c>
      <c r="C26" s="34" t="n">
        <v>0.0476</v>
      </c>
      <c r="D26" s="109" t="n">
        <v>0.89</v>
      </c>
      <c r="E26" s="29" t="s">
        <v>397</v>
      </c>
    </row>
    <row r="27" customFormat="false" ht="15" hidden="false" customHeight="true" outlineLevel="0" collapsed="false">
      <c r="B27" s="8" t="s">
        <v>398</v>
      </c>
      <c r="C27" s="34" t="n">
        <v>0.1773</v>
      </c>
      <c r="D27" s="60" t="n">
        <v>1.37</v>
      </c>
      <c r="E27" s="29" t="s">
        <v>399</v>
      </c>
    </row>
    <row r="28" customFormat="false" ht="15" hidden="false" customHeight="true" outlineLevel="0" collapsed="false">
      <c r="B28" s="8" t="s">
        <v>400</v>
      </c>
      <c r="C28" s="34" t="n">
        <v>0.0833</v>
      </c>
      <c r="D28" s="60" t="n">
        <v>1.02</v>
      </c>
      <c r="E28" s="29" t="s">
        <v>401</v>
      </c>
    </row>
    <row r="29" customFormat="false" ht="15" hidden="false" customHeight="true" outlineLevel="0" collapsed="false">
      <c r="B29" s="8" t="s">
        <v>402</v>
      </c>
      <c r="C29" s="34" t="n">
        <v>-0.0349</v>
      </c>
      <c r="D29" s="109" t="n">
        <v>0.7</v>
      </c>
      <c r="E29" s="29" t="s">
        <v>403</v>
      </c>
    </row>
    <row r="31" customFormat="false" ht="15" hidden="false" customHeight="true" outlineLevel="0" collapsed="false">
      <c r="B31" s="29" t="s">
        <v>404</v>
      </c>
    </row>
    <row r="32" customFormat="false" ht="15" hidden="false" customHeight="true" outlineLevel="0" collapsed="false">
      <c r="B32" s="29" t="s">
        <v>405</v>
      </c>
    </row>
    <row r="35" customFormat="false" ht="15" hidden="false" customHeight="true" outlineLevel="0" collapsed="false">
      <c r="A35" s="55" t="n">
        <f aca="false">MAX($A$2:A34)+0.01</f>
        <v>5.03</v>
      </c>
      <c r="B35" s="56" t="s">
        <v>406</v>
      </c>
      <c r="C35" s="57"/>
      <c r="D35" s="57"/>
      <c r="E35" s="57"/>
      <c r="F35" s="57"/>
      <c r="G35" s="57"/>
      <c r="H35" s="57"/>
      <c r="I35" s="57"/>
      <c r="J35" s="57"/>
      <c r="K35" s="57"/>
      <c r="L35" s="57"/>
      <c r="M35" s="57"/>
      <c r="N35" s="57"/>
      <c r="O35" s="57"/>
      <c r="P35" s="57"/>
      <c r="Q35" s="57"/>
      <c r="R35" s="57"/>
      <c r="S35" s="57"/>
    </row>
    <row r="37" customFormat="false" ht="15" hidden="false" customHeight="true" outlineLevel="0" collapsed="false">
      <c r="B37" s="106" t="s">
        <v>407</v>
      </c>
      <c r="C37" s="106" t="s">
        <v>105</v>
      </c>
      <c r="D37" s="106" t="s">
        <v>408</v>
      </c>
      <c r="E37" s="106" t="s">
        <v>409</v>
      </c>
    </row>
    <row r="38" customFormat="false" ht="15" hidden="false" customHeight="true" outlineLevel="0" collapsed="false">
      <c r="B38" s="8" t="s">
        <v>410</v>
      </c>
      <c r="C38" s="47" t="n">
        <v>51242</v>
      </c>
      <c r="D38" s="47" t="n">
        <v>64518</v>
      </c>
      <c r="E38" s="47" t="n">
        <v>0</v>
      </c>
    </row>
    <row r="39" customFormat="false" ht="15" hidden="false" customHeight="true" outlineLevel="0" collapsed="false">
      <c r="B39" s="110" t="s">
        <v>411</v>
      </c>
      <c r="C39" s="48" t="n">
        <v>51242</v>
      </c>
      <c r="D39" s="48" t="n">
        <v>64518</v>
      </c>
      <c r="E39" s="48" t="n">
        <v>0</v>
      </c>
    </row>
    <row r="40" customFormat="false" ht="15" hidden="false" customHeight="true" outlineLevel="0" collapsed="false">
      <c r="B40" s="8" t="s">
        <v>412</v>
      </c>
      <c r="C40" s="47" t="n">
        <v>51242</v>
      </c>
      <c r="D40" s="47" t="n">
        <v>64518</v>
      </c>
      <c r="E40" s="47" t="n">
        <v>0</v>
      </c>
    </row>
    <row r="41" customFormat="false" ht="15" hidden="false" customHeight="true" outlineLevel="0" collapsed="false">
      <c r="B41" s="8" t="s">
        <v>413</v>
      </c>
      <c r="C41" s="47" t="n">
        <v>51222</v>
      </c>
      <c r="D41" s="47" t="n">
        <v>64485</v>
      </c>
      <c r="E41" s="47" t="n">
        <v>-32</v>
      </c>
    </row>
    <row r="42" customFormat="false" ht="15" hidden="false" customHeight="true" outlineLevel="0" collapsed="false">
      <c r="B42" s="8" t="s">
        <v>414</v>
      </c>
      <c r="C42" s="47" t="n">
        <v>50856</v>
      </c>
      <c r="D42" s="47" t="n">
        <v>64032</v>
      </c>
      <c r="E42" s="47" t="n">
        <v>-486</v>
      </c>
    </row>
    <row r="43" customFormat="false" ht="15" hidden="false" customHeight="true" outlineLevel="0" collapsed="false">
      <c r="B43" s="8" t="s">
        <v>415</v>
      </c>
      <c r="C43" s="47" t="n">
        <v>50190</v>
      </c>
      <c r="D43" s="47" t="n">
        <v>63236</v>
      </c>
      <c r="E43" s="47" t="n">
        <v>-1281</v>
      </c>
    </row>
    <row r="44" customFormat="false" ht="15" hidden="false" customHeight="true" outlineLevel="0" collapsed="false">
      <c r="B44" s="8" t="s">
        <v>416</v>
      </c>
      <c r="C44" s="47" t="n">
        <v>49525</v>
      </c>
      <c r="D44" s="47" t="n">
        <v>62441</v>
      </c>
      <c r="E44" s="47" t="n">
        <v>-2077</v>
      </c>
    </row>
    <row r="45" customFormat="false" ht="15" hidden="false" customHeight="true" outlineLevel="0" collapsed="false">
      <c r="B45" s="8" t="s">
        <v>417</v>
      </c>
      <c r="C45" s="47" t="n">
        <v>48859</v>
      </c>
      <c r="D45" s="47" t="n">
        <v>61646</v>
      </c>
      <c r="E45" s="47" t="n">
        <v>-2872</v>
      </c>
    </row>
    <row r="47" customFormat="false" ht="15" hidden="false" customHeight="true" outlineLevel="0" collapsed="false">
      <c r="B47" s="29" t="s">
        <v>418</v>
      </c>
    </row>
    <row r="50" customFormat="false" ht="15" hidden="false" customHeight="true" outlineLevel="0" collapsed="false">
      <c r="A50" s="55" t="n">
        <f aca="false">MAX($A$2:A49)+0.01</f>
        <v>5.04</v>
      </c>
      <c r="B50" s="56" t="s">
        <v>419</v>
      </c>
      <c r="C50" s="57"/>
      <c r="D50" s="57"/>
      <c r="E50" s="57"/>
      <c r="F50" s="57"/>
      <c r="G50" s="57"/>
      <c r="H50" s="57"/>
      <c r="I50" s="57"/>
      <c r="J50" s="57"/>
      <c r="K50" s="57"/>
      <c r="L50" s="57"/>
      <c r="M50" s="57"/>
      <c r="N50" s="57"/>
      <c r="O50" s="57"/>
      <c r="P50" s="57"/>
      <c r="Q50" s="57"/>
      <c r="R50" s="57"/>
      <c r="S50" s="57"/>
    </row>
    <row r="52" customFormat="false" ht="15" hidden="false" customHeight="true" outlineLevel="0" collapsed="false">
      <c r="B52" s="29" t="s">
        <v>420</v>
      </c>
    </row>
    <row r="54" customFormat="false" ht="15" hidden="false" customHeight="true" outlineLevel="0" collapsed="false">
      <c r="B54" s="14" t="s">
        <v>421</v>
      </c>
    </row>
    <row r="55" customFormat="false" ht="15" hidden="false" customHeight="true" outlineLevel="0" collapsed="false">
      <c r="B55" s="111" t="s">
        <v>422</v>
      </c>
      <c r="C55" s="106" t="s">
        <v>423</v>
      </c>
      <c r="D55" s="106" t="s">
        <v>424</v>
      </c>
      <c r="E55" s="106" t="s">
        <v>425</v>
      </c>
    </row>
    <row r="56" customFormat="false" ht="15" hidden="false" customHeight="true" outlineLevel="0" collapsed="false">
      <c r="B56" s="8" t="s">
        <v>426</v>
      </c>
      <c r="C56" s="48" t="n">
        <v>64518</v>
      </c>
      <c r="D56" s="47" t="n">
        <v>65926</v>
      </c>
      <c r="E56" s="47" t="n">
        <v>66438</v>
      </c>
    </row>
    <row r="57" customFormat="false" ht="15" hidden="false" customHeight="true" outlineLevel="0" collapsed="false">
      <c r="B57" s="8" t="s">
        <v>416</v>
      </c>
      <c r="C57" s="47" t="n">
        <v>62014</v>
      </c>
      <c r="D57" s="47" t="n">
        <v>63362</v>
      </c>
      <c r="E57" s="47" t="n">
        <v>64128</v>
      </c>
    </row>
    <row r="58" customFormat="false" ht="15" hidden="false" customHeight="true" outlineLevel="0" collapsed="false">
      <c r="B58" s="8" t="s">
        <v>415</v>
      </c>
      <c r="C58" s="47" t="n">
        <v>59510</v>
      </c>
      <c r="D58" s="47" t="n">
        <v>60798</v>
      </c>
      <c r="E58" s="47" t="n">
        <v>61530</v>
      </c>
    </row>
    <row r="59" customFormat="false" ht="15" hidden="false" customHeight="true" outlineLevel="0" collapsed="false">
      <c r="B59" s="8" t="s">
        <v>414</v>
      </c>
      <c r="C59" s="47" t="n">
        <v>57006</v>
      </c>
      <c r="D59" s="47" t="n">
        <v>58234</v>
      </c>
      <c r="E59" s="47" t="n">
        <v>58932</v>
      </c>
    </row>
    <row r="61" customFormat="false" ht="15" hidden="false" customHeight="true" outlineLevel="0" collapsed="false">
      <c r="B61" s="14" t="s">
        <v>427</v>
      </c>
    </row>
    <row r="62" customFormat="false" ht="15" hidden="false" customHeight="true" outlineLevel="0" collapsed="false">
      <c r="B62" s="111" t="s">
        <v>422</v>
      </c>
      <c r="C62" s="106" t="s">
        <v>423</v>
      </c>
      <c r="D62" s="106" t="s">
        <v>424</v>
      </c>
      <c r="E62" s="106" t="s">
        <v>425</v>
      </c>
    </row>
    <row r="63" customFormat="false" ht="15" hidden="false" customHeight="true" outlineLevel="0" collapsed="false">
      <c r="B63" s="8" t="s">
        <v>426</v>
      </c>
      <c r="C63" s="47" t="n">
        <v>51242</v>
      </c>
      <c r="D63" s="47" t="n">
        <v>55737</v>
      </c>
      <c r="E63" s="47" t="n">
        <v>57375</v>
      </c>
    </row>
    <row r="64" customFormat="false" ht="15" hidden="false" customHeight="true" outlineLevel="0" collapsed="false">
      <c r="B64" s="8" t="s">
        <v>416</v>
      </c>
      <c r="C64" s="47" t="n">
        <v>49273</v>
      </c>
      <c r="D64" s="47" t="n">
        <v>53594</v>
      </c>
      <c r="E64" s="47" t="n">
        <v>56051</v>
      </c>
    </row>
    <row r="65" customFormat="false" ht="15" hidden="false" customHeight="true" outlineLevel="0" collapsed="false">
      <c r="B65" s="8" t="s">
        <v>415</v>
      </c>
      <c r="C65" s="47" t="n">
        <v>47304</v>
      </c>
      <c r="D65" s="47" t="n">
        <v>51451</v>
      </c>
      <c r="E65" s="47" t="n">
        <v>53809</v>
      </c>
    </row>
    <row r="66" customFormat="false" ht="15" hidden="false" customHeight="true" outlineLevel="0" collapsed="false">
      <c r="B66" s="8" t="s">
        <v>414</v>
      </c>
      <c r="C66" s="47" t="n">
        <v>45334</v>
      </c>
      <c r="D66" s="47" t="n">
        <v>49308</v>
      </c>
      <c r="E66" s="47" t="n">
        <v>51567</v>
      </c>
    </row>
    <row r="68" customFormat="false" ht="15" hidden="false" customHeight="true" outlineLevel="0" collapsed="false">
      <c r="B68" s="29" t="s">
        <v>428</v>
      </c>
    </row>
    <row r="71" customFormat="false" ht="15" hidden="false" customHeight="true" outlineLevel="0" collapsed="false">
      <c r="A71" s="55" t="n">
        <f aca="false">MAX($A$2:A70)+0.01</f>
        <v>5.05</v>
      </c>
      <c r="B71" s="56" t="s">
        <v>429</v>
      </c>
      <c r="C71" s="57"/>
      <c r="D71" s="57"/>
      <c r="E71" s="57"/>
      <c r="F71" s="57"/>
      <c r="G71" s="57"/>
      <c r="H71" s="57"/>
      <c r="I71" s="57"/>
      <c r="J71" s="57"/>
      <c r="K71" s="57"/>
      <c r="L71" s="57"/>
      <c r="M71" s="57"/>
      <c r="N71" s="57"/>
      <c r="O71" s="57"/>
      <c r="P71" s="57"/>
      <c r="Q71" s="57"/>
      <c r="R71" s="57"/>
      <c r="S71" s="57"/>
    </row>
    <row r="73" customFormat="false" ht="15" hidden="false" customHeight="true" outlineLevel="0" collapsed="false">
      <c r="B73" s="111" t="s">
        <v>430</v>
      </c>
      <c r="C73" s="106" t="s">
        <v>431</v>
      </c>
      <c r="D73" s="106" t="s">
        <v>432</v>
      </c>
      <c r="E73" s="106" t="s">
        <v>433</v>
      </c>
      <c r="F73" s="106" t="s">
        <v>434</v>
      </c>
    </row>
    <row r="74" customFormat="false" ht="15" hidden="false" customHeight="true" outlineLevel="0" collapsed="false">
      <c r="B74" s="54" t="n">
        <f aca="false">Output!E$5</f>
        <v>2013</v>
      </c>
      <c r="C74" s="32" t="n">
        <f aca="false">Output!E12</f>
        <v>7011.81592039801</v>
      </c>
      <c r="D74" s="32" t="n">
        <f aca="false">Output!E13</f>
        <v>5050</v>
      </c>
      <c r="E74" s="32" t="n">
        <f aca="false">Output!E14</f>
        <v>12061.815920398</v>
      </c>
      <c r="F74" s="104" t="n">
        <f aca="false">C74/E74</f>
        <v>0.581323406580942</v>
      </c>
    </row>
    <row r="75" customFormat="false" ht="15" hidden="false" customHeight="true" outlineLevel="0" collapsed="false">
      <c r="B75" s="54" t="n">
        <f aca="false">Output!F$5</f>
        <v>2014</v>
      </c>
      <c r="C75" s="32" t="n">
        <f aca="false">Output!F12</f>
        <v>7115.95180040392</v>
      </c>
      <c r="D75" s="32" t="n">
        <f aca="false">Output!F13</f>
        <v>5100.5</v>
      </c>
      <c r="E75" s="32" t="n">
        <f aca="false">Output!F14</f>
        <v>12216.4518004039</v>
      </c>
      <c r="F75" s="104" t="n">
        <f aca="false">C75/E75</f>
        <v>0.582489246195744</v>
      </c>
    </row>
    <row r="76" customFormat="false" ht="15" hidden="false" customHeight="true" outlineLevel="0" collapsed="false">
      <c r="B76" s="54" t="n">
        <f aca="false">Output!G$5</f>
        <v>2015</v>
      </c>
      <c r="C76" s="32" t="n">
        <f aca="false">Output!G12</f>
        <v>7186.05969991529</v>
      </c>
      <c r="D76" s="32" t="n">
        <f aca="false">Output!G13</f>
        <v>5151.505</v>
      </c>
      <c r="E76" s="32" t="n">
        <f aca="false">Output!G14</f>
        <v>12337.5646999153</v>
      </c>
      <c r="F76" s="104" t="n">
        <f aca="false">C76/E76</f>
        <v>0.582453658781188</v>
      </c>
    </row>
    <row r="77" customFormat="false" ht="15" hidden="false" customHeight="true" outlineLevel="0" collapsed="false">
      <c r="B77" s="54" t="n">
        <f aca="false">Output!H$5</f>
        <v>2016</v>
      </c>
      <c r="C77" s="32" t="n">
        <f aca="false">Output!H12</f>
        <v>7186.0596999153</v>
      </c>
      <c r="D77" s="32" t="n">
        <f aca="false">Output!H13</f>
        <v>5177.262525</v>
      </c>
      <c r="E77" s="32" t="n">
        <f aca="false">Output!H14</f>
        <v>12363.3222249153</v>
      </c>
      <c r="F77" s="104" t="n">
        <f aca="false">C77/E77</f>
        <v>0.581240185217653</v>
      </c>
    </row>
    <row r="78" customFormat="false" ht="15" hidden="false" customHeight="true" outlineLevel="0" collapsed="false">
      <c r="B78" s="54" t="n">
        <f aca="false">Output!I$5</f>
        <v>2017</v>
      </c>
      <c r="C78" s="32" t="n">
        <f aca="false">Output!I12</f>
        <v>7151.00575015961</v>
      </c>
      <c r="D78" s="32" t="n">
        <f aca="false">Output!I13</f>
        <v>5203.148837625</v>
      </c>
      <c r="E78" s="32" t="n">
        <f aca="false">Output!I14</f>
        <v>12354.1545877846</v>
      </c>
      <c r="F78" s="104" t="n">
        <f aca="false">C78/E78</f>
        <v>0.578834083655574</v>
      </c>
    </row>
    <row r="79" customFormat="false" ht="15" hidden="false" customHeight="true" outlineLevel="0" collapsed="false">
      <c r="B79" s="54" t="n">
        <f aca="false">Output!J$5</f>
        <v>2018</v>
      </c>
      <c r="C79" s="32" t="n">
        <f aca="false">Output!J12</f>
        <v>7081.57850986679</v>
      </c>
      <c r="D79" s="32" t="n">
        <f aca="false">Output!J13</f>
        <v>5229.16458181312</v>
      </c>
      <c r="E79" s="32" t="n">
        <f aca="false">Output!J14</f>
        <v>12310.7430916799</v>
      </c>
      <c r="F79" s="104" t="n">
        <f aca="false">C79/E79</f>
        <v>0.575235666696091</v>
      </c>
    </row>
    <row r="80" customFormat="false" ht="15" hidden="false" customHeight="true" outlineLevel="0" collapsed="false">
      <c r="B80" s="54" t="n">
        <f aca="false">Output!K$5</f>
        <v>2019</v>
      </c>
      <c r="C80" s="32" t="n">
        <f aca="false">Output!K12</f>
        <v>6978.94693726003</v>
      </c>
      <c r="D80" s="32" t="n">
        <f aca="false">Output!K13</f>
        <v>5255.31040472219</v>
      </c>
      <c r="E80" s="32" t="n">
        <f aca="false">Output!K14</f>
        <v>12234.2573419822</v>
      </c>
      <c r="F80" s="104" t="n">
        <f aca="false">C80/E80</f>
        <v>0.570443038933926</v>
      </c>
    </row>
    <row r="81" customFormat="false" ht="15" hidden="false" customHeight="true" outlineLevel="0" collapsed="false">
      <c r="B81" s="54" t="n">
        <f aca="false">Output!L$5</f>
        <v>2020</v>
      </c>
      <c r="C81" s="32" t="n">
        <f aca="false">Output!L12</f>
        <v>7383.2116694513</v>
      </c>
      <c r="D81" s="32" t="n">
        <f aca="false">Output!L13</f>
        <v>5281.5869567458</v>
      </c>
      <c r="E81" s="32" t="n">
        <f aca="false">Output!L14</f>
        <v>12664.7986261971</v>
      </c>
      <c r="F81" s="104" t="n">
        <f aca="false">C81/E81</f>
        <v>0.582971106558232</v>
      </c>
    </row>
    <row r="82" customFormat="false" ht="15" hidden="false" customHeight="true" outlineLevel="0" collapsed="false">
      <c r="B82" s="54" t="n">
        <f aca="false">Output!M$5</f>
        <v>2021</v>
      </c>
      <c r="C82" s="32" t="n">
        <f aca="false">Output!M12</f>
        <v>7681.49342089715</v>
      </c>
      <c r="D82" s="32" t="n">
        <f aca="false">Output!M13</f>
        <v>5307.99489152953</v>
      </c>
      <c r="E82" s="32" t="n">
        <f aca="false">Output!M14</f>
        <v>12989.4883124267</v>
      </c>
      <c r="F82" s="104" t="n">
        <f aca="false">C82/E82</f>
        <v>0.591362279724943</v>
      </c>
    </row>
    <row r="83" customFormat="false" ht="15" hidden="false" customHeight="true" outlineLevel="0" collapsed="false">
      <c r="B83" s="54" t="n">
        <f aca="false">Output!N$5</f>
        <v>2022</v>
      </c>
      <c r="C83" s="32" t="n">
        <f aca="false">Output!N12</f>
        <v>6490.10140858777</v>
      </c>
      <c r="D83" s="32" t="n">
        <f aca="false">Output!N13</f>
        <v>5334.53486598718</v>
      </c>
      <c r="E83" s="32" t="n">
        <f aca="false">Output!N14</f>
        <v>11824.6362745749</v>
      </c>
      <c r="F83" s="104" t="n">
        <f aca="false">C83/E83</f>
        <v>0.548862667559816</v>
      </c>
    </row>
    <row r="84" customFormat="false" ht="15" hidden="false" customHeight="true" outlineLevel="0" collapsed="false">
      <c r="B84" s="54" t="n">
        <f aca="false">Output!O$5</f>
        <v>2023</v>
      </c>
      <c r="C84" s="32" t="n">
        <f aca="false">Output!O12</f>
        <v>6274.78998744978</v>
      </c>
      <c r="D84" s="32" t="n">
        <f aca="false">Output!O13</f>
        <v>0</v>
      </c>
      <c r="E84" s="32" t="n">
        <f aca="false">Output!O14</f>
        <v>6274.78998744978</v>
      </c>
      <c r="F84" s="104" t="n">
        <f aca="false">C84/E84</f>
        <v>1</v>
      </c>
    </row>
    <row r="85" customFormat="false" ht="15" hidden="false" customHeight="true" outlineLevel="0" collapsed="false">
      <c r="B85" s="54" t="n">
        <f aca="false">Output!P$5</f>
        <v>2024</v>
      </c>
      <c r="C85" s="32" t="n">
        <f aca="false">Output!P12</f>
        <v>6038.00545962149</v>
      </c>
      <c r="D85" s="32" t="n">
        <f aca="false">Output!P13</f>
        <v>0</v>
      </c>
      <c r="E85" s="32" t="n">
        <f aca="false">Output!P14</f>
        <v>6038.00545962149</v>
      </c>
      <c r="F85" s="104" t="n">
        <f aca="false">C85/E85</f>
        <v>1</v>
      </c>
    </row>
    <row r="86" customFormat="false" ht="15" hidden="false" customHeight="true" outlineLevel="0" collapsed="false">
      <c r="B86" s="54" t="n">
        <f aca="false">Output!Q$5</f>
        <v>2025</v>
      </c>
      <c r="C86" s="32" t="n">
        <f aca="false">Output!Q12</f>
        <v>5782.87846836988</v>
      </c>
      <c r="D86" s="32" t="n">
        <f aca="false">Output!Q13</f>
        <v>0</v>
      </c>
      <c r="E86" s="32" t="n">
        <f aca="false">Output!Q14</f>
        <v>5782.87846836988</v>
      </c>
      <c r="F86" s="104" t="n">
        <f aca="false">C86/E86</f>
        <v>1</v>
      </c>
    </row>
    <row r="87" customFormat="false" ht="15" hidden="false" customHeight="true" outlineLevel="0" collapsed="false">
      <c r="B87" s="54" t="n">
        <f aca="false">Output!R$5</f>
        <v>2026</v>
      </c>
      <c r="C87" s="32" t="n">
        <f aca="false">Output!R12</f>
        <v>5512.6505025582</v>
      </c>
      <c r="D87" s="32" t="n">
        <f aca="false">Output!R13</f>
        <v>0</v>
      </c>
      <c r="E87" s="32" t="n">
        <f aca="false">Output!R14</f>
        <v>5512.6505025582</v>
      </c>
      <c r="F87" s="104" t="n">
        <f aca="false">C87/E87</f>
        <v>1</v>
      </c>
    </row>
    <row r="88" customFormat="false" ht="15" hidden="false" customHeight="true" outlineLevel="0" collapsed="false">
      <c r="B88" s="54" t="n">
        <f aca="false">Output!S$5</f>
        <v>2027</v>
      </c>
      <c r="C88" s="32" t="n">
        <f aca="false">Output!S12</f>
        <v>5230.60791870639</v>
      </c>
      <c r="D88" s="32" t="n">
        <f aca="false">Output!S13</f>
        <v>0</v>
      </c>
      <c r="E88" s="32" t="n">
        <f aca="false">Output!S14</f>
        <v>5230.60791870639</v>
      </c>
      <c r="F88" s="104" t="n">
        <f aca="false">C88/E88</f>
        <v>1</v>
      </c>
    </row>
    <row r="90" customFormat="false" ht="15" hidden="false" customHeight="true" outlineLevel="0" collapsed="false">
      <c r="B90" s="29" t="s">
        <v>435</v>
      </c>
    </row>
    <row r="93" customFormat="false" ht="15" hidden="false" customHeight="true" outlineLevel="0" collapsed="false">
      <c r="A93" s="55" t="n">
        <f aca="false">MAX($A$2:A92)+0.01</f>
        <v>5.06</v>
      </c>
      <c r="B93" s="56" t="s">
        <v>436</v>
      </c>
      <c r="C93" s="57"/>
      <c r="D93" s="57"/>
      <c r="E93" s="57"/>
      <c r="F93" s="57"/>
      <c r="G93" s="57"/>
      <c r="H93" s="57"/>
      <c r="I93" s="57"/>
      <c r="J93" s="57"/>
      <c r="K93" s="57"/>
      <c r="L93" s="57"/>
      <c r="M93" s="57"/>
      <c r="N93" s="57"/>
      <c r="O93" s="57"/>
      <c r="P93" s="57"/>
      <c r="Q93" s="57"/>
      <c r="R93" s="57"/>
      <c r="S93" s="57"/>
    </row>
    <row r="95" customFormat="false" ht="15" hidden="false" customHeight="true" outlineLevel="0" collapsed="false">
      <c r="B95" s="8" t="s">
        <v>437</v>
      </c>
      <c r="D95" s="77" t="n">
        <f aca="false">Output!$D$52</f>
        <v>64517.5026960775</v>
      </c>
    </row>
    <row r="96" customFormat="false" ht="15" hidden="false" customHeight="true" outlineLevel="0" collapsed="false">
      <c r="B96" s="8" t="s">
        <v>438</v>
      </c>
      <c r="D96" s="32" t="n">
        <f aca="false">NPV(0.11,Output!$E$46:$S$46)+Calcs!$D$98-Calcs!$D$99-Assumptions!$D$92</f>
        <v>65120.6900299996</v>
      </c>
    </row>
    <row r="97" customFormat="false" ht="15" hidden="false" customHeight="true" outlineLevel="0" collapsed="false">
      <c r="B97" s="8" t="s">
        <v>439</v>
      </c>
      <c r="D97" s="82" t="n">
        <f aca="false">Output!$D$83</f>
        <v>71900</v>
      </c>
    </row>
    <row r="98" customFormat="false" ht="15" hidden="false" customHeight="true" outlineLevel="0" collapsed="false">
      <c r="B98" s="8" t="s">
        <v>440</v>
      </c>
      <c r="D98" s="32" t="n">
        <f aca="false">D97-D95</f>
        <v>7382.49730392255</v>
      </c>
    </row>
    <row r="99" customFormat="false" ht="15" hidden="false" customHeight="true" outlineLevel="0" collapsed="false">
      <c r="B99" s="8" t="s">
        <v>441</v>
      </c>
      <c r="D99" s="78" t="n">
        <f aca="false">D98/D97</f>
        <v>0.102677292126878</v>
      </c>
    </row>
    <row r="101" customFormat="false" ht="15" hidden="false" customHeight="true" outlineLevel="0" collapsed="false">
      <c r="B101" s="29" t="s">
        <v>442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2026-10-12T00:00:00Z</dcterms:created>
  <dc:creator>Rosemary Waweru</dc:creator>
  <dc:description/>
  <dc:language>en-US</dc:language>
  <cp:lastModifiedBy>Rosemary Waweru</cp:lastModifiedBy>
  <dcterms:modified xsi:type="dcterms:W3CDTF">2026-10-12T07:55:41Z</dcterms:modified>
  <cp:revision>0</cp:revision>
  <dc:subject/>
  <dc:title>Project Storm - Windfarm Acquisition Valuation Model</dc:title>
</cp:coreProperties>
</file>

<file path=docProps/custom.xml><?xml version="1.0" encoding="utf-8"?>
<Properties xmlns="http://schemas.openxmlformats.org/officeDocument/2006/custom-properties" xmlns:vt="http://schemas.openxmlformats.org/officeDocument/2006/docPropsVTypes"/>
</file>